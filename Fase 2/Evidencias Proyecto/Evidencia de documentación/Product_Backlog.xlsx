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Planning Poker" sheetId="2" r:id="rId5"/>
    <sheet state="visible" name="Instructivo" sheetId="3" r:id="rId6"/>
  </sheets>
  <definedNames/>
  <calcPr/>
  <extLst>
    <ext uri="GoogleSheetsCustomDataVersion2">
      <go:sheetsCustomData xmlns:go="http://customooxmlschemas.google.com/" r:id="rId7" roundtripDataChecksum="9dhcKLl0EiE+CiBgr1X1XRtVLaCS96ycmT820im/QaA="/>
    </ext>
  </extLst>
</workbook>
</file>

<file path=xl/sharedStrings.xml><?xml version="1.0" encoding="utf-8"?>
<sst xmlns="http://schemas.openxmlformats.org/spreadsheetml/2006/main" count="175" uniqueCount="108">
  <si>
    <t>Desarrollo ágil: Pila de Producto (Product Backlog)</t>
  </si>
  <si>
    <t>Identificador (ID) de la Historia</t>
  </si>
  <si>
    <t>Enunciado de la Historia</t>
  </si>
  <si>
    <t>Alias</t>
  </si>
  <si>
    <t>Estado</t>
  </si>
  <si>
    <t>Esfuerzo (en días)</t>
  </si>
  <si>
    <t>Iteración (Sprint)</t>
  </si>
  <si>
    <t>Prioridad</t>
  </si>
  <si>
    <t>Comentarios</t>
  </si>
  <si>
    <t>PB-01</t>
  </si>
  <si>
    <t>Como usuario, necesito iniciar sesión en la aplicación, con la finalidad de acceder a mi cuenta y gestionar productos.</t>
  </si>
  <si>
    <t>Login</t>
  </si>
  <si>
    <t>Planificada</t>
  </si>
  <si>
    <t>Alta</t>
  </si>
  <si>
    <t>Incluye recuperación de contraseña</t>
  </si>
  <si>
    <t>PB-02</t>
  </si>
  <si>
    <t>Como administrador, necesito crear cuentas en la aplicación, con la finalidad de que usuarios puedan acceder al sistema.</t>
  </si>
  <si>
    <t>Registro</t>
  </si>
  <si>
    <t>Validación de campos y duplicados</t>
  </si>
  <si>
    <t>PB-03</t>
  </si>
  <si>
    <t>Como administrador, necesito gestionar usuarios del sistema, con la finalidad de asignar roles y accesos.</t>
  </si>
  <si>
    <t>AdminUsuarios</t>
  </si>
  <si>
    <t>Roles: supervisor, gerente</t>
  </si>
  <si>
    <t>PB-04</t>
  </si>
  <si>
    <t>Como usuario, necesito agregar productos al inventario, con la finalidad de mantener el stock actualizado.</t>
  </si>
  <si>
    <t>ArgregarProducto</t>
  </si>
  <si>
    <t>PB-05</t>
  </si>
  <si>
    <t>Como usuario, necesito editar los detalles de un producto, con la finalidad de actualizar la información.</t>
  </si>
  <si>
    <t>EditarProducto</t>
  </si>
  <si>
    <t>Incluye cambios de descripción, cantidad</t>
  </si>
  <si>
    <t>PB-06</t>
  </si>
  <si>
    <t>Como usuario, necesito eliminar productos obsoletos o vencidos, con la finalidad de mantener el inventario limpio.</t>
  </si>
  <si>
    <t>EliminarProducto</t>
  </si>
  <si>
    <t>Confirmación antes de eliminar</t>
  </si>
  <si>
    <t>PB-07</t>
  </si>
  <si>
    <t>Como usuario, necesito visualizar el estado del inventario, con la finalidad de tomar decisiones informadas.</t>
  </si>
  <si>
    <t>VerInventario</t>
  </si>
  <si>
    <t>Listados, filtros y búsqueda</t>
  </si>
  <si>
    <t>PB-08</t>
  </si>
  <si>
    <t>Como un usuario, necesito asignar productos entre diferentes casetas para manejar el orden del inventario, con la finalidad de mantener un orden y realizar el seguimiento de moviemientos.</t>
  </si>
  <si>
    <t>AsignarProducto</t>
  </si>
  <si>
    <t>Movimiento de productos.</t>
  </si>
  <si>
    <t>PB-09</t>
  </si>
  <si>
    <t>Como un usuario, necesito editar productos en la caseta para manejar el orden del inventario, con la finalidad de mantener un orden y actualizacion del inventario de la caseta</t>
  </si>
  <si>
    <t>media</t>
  </si>
  <si>
    <t>PB-10</t>
  </si>
  <si>
    <t>Como un usuario, necesito eliminar productos en la caseta para manejar el orden del inventario, con la finalidad de mantener un orden y actualizacion del inventario de la caseta</t>
  </si>
  <si>
    <t>PB-11</t>
  </si>
  <si>
    <t>Como un usuario, necesito listar productos en la caseta para visualizar el inventario, con la finalidad de mantener información actualizada de la caseta</t>
  </si>
  <si>
    <t>PB-12</t>
  </si>
  <si>
    <t>Como usuario, necesito registrar las aplicaciones de los productos para mantener un gasto de productos</t>
  </si>
  <si>
    <t>AplicarProducto</t>
  </si>
  <si>
    <t>Baja</t>
  </si>
  <si>
    <t>PB-13</t>
  </si>
  <si>
    <t>Como usuario, necesito recibir alertas de stock bajo, con la finalidad de evitar quiebres de stock.</t>
  </si>
  <si>
    <t>NotifStockBajo</t>
  </si>
  <si>
    <t>Notificación a supervisor/gerente</t>
  </si>
  <si>
    <t>PB-14</t>
  </si>
  <si>
    <t>Como usuario, necesito recibir alertas de productos próximos a vencer, con la finalidad de mantener la calidad del inventario.</t>
  </si>
  <si>
    <t>NotifVencimiento</t>
  </si>
  <si>
    <t>Media</t>
  </si>
  <si>
    <t>Solo aplica a productos con fecha vencimiento</t>
  </si>
  <si>
    <t>PB-15</t>
  </si>
  <si>
    <t>Como usuario, necesito recibir notificaciones dentro del sistema (no solo por correo), con la finalidad de estar constantemente informado.</t>
  </si>
  <si>
    <t>NotifInterna</t>
  </si>
  <si>
    <t>Puede integrarse con dashboard</t>
  </si>
  <si>
    <t>PB-16</t>
  </si>
  <si>
    <t>Como usuario, necesito generar reportes de inventario semanales, con la finalidad de analizar el consumo y reposición.</t>
  </si>
  <si>
    <t>ReporteSemanal</t>
  </si>
  <si>
    <t>Exportable en PDF/Excel</t>
  </si>
  <si>
    <t>PB-17</t>
  </si>
  <si>
    <t>Como usuario, necesito generar reportes de inventario mensuales, con la finalidad de analizar el consumo y reposición.</t>
  </si>
  <si>
    <t>ReporteMensual</t>
  </si>
  <si>
    <t>Similar al semanal pero acumulativo</t>
  </si>
  <si>
    <t>PB-18</t>
  </si>
  <si>
    <t>Como gerente, necesito acceder a un panel de control con indicadores del inventario, con la finalidad de tener una visión general para la toma de decisiones.</t>
  </si>
  <si>
    <t>Dashboard</t>
  </si>
  <si>
    <t>Gráficos y métricas clave</t>
  </si>
  <si>
    <t>PB-19</t>
  </si>
  <si>
    <t>Como usuario de la caseta, necesito registrar el Equipo de aplicación y el Sector al guardar una aplicación, para cumplir con los nuevos requisitos de trazabilidad del sistema interno</t>
  </si>
  <si>
    <t>Aplicacion de productos.</t>
  </si>
  <si>
    <t xml:space="preserve">Puntuacion individual </t>
  </si>
  <si>
    <t>ID PB</t>
  </si>
  <si>
    <t>Eduardo Velasquez</t>
  </si>
  <si>
    <t>Felipe Alvarado</t>
  </si>
  <si>
    <t>Marco Oviedo</t>
  </si>
  <si>
    <t>Ponderación</t>
  </si>
  <si>
    <t>Avance del Desarrollo</t>
  </si>
  <si>
    <t>usamos la técnica de estimación en equipo llamada  Planning Poker, que utiliza cartas con una secuencia numérica (similar a la de Fibonacci) para asignar "puntos de historia" a las tareas o "historias de usuario", reflejando su complejidad, esfuerzo y riesgo. Con este metodo podremos ir viendo el porcentaje de avance que llevamos para el desarrollo del proyecto</t>
  </si>
  <si>
    <t>Finalizada</t>
  </si>
  <si>
    <t>Planning poker: la estrategia integral para la estimación ágil</t>
  </si>
  <si>
    <t>Puntaje Total</t>
  </si>
  <si>
    <t>Puntaje Avanzado</t>
  </si>
  <si>
    <t>Porcentaje de Avance</t>
  </si>
  <si>
    <t xml:space="preserve">Ponderación total </t>
  </si>
  <si>
    <t>Pila de Producto (Product Backlog): Instructivo</t>
  </si>
  <si>
    <t>Elaborado por: pmoinformatica.com</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</si>
  <si>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</si>
  <si>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</si>
  <si>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</si>
  <si>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</si>
  <si>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</si>
  <si>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</si>
  <si>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Dimensión / Esfuerzo</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</si>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</sst>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
  </numFmts>
  <fonts count="16">
    <font>
      <sz val="11.0"/>
      <color theme="1"/>
      <name val="Calibri"/>
      <scheme val="minor"/>
    </font>
    <font>
      <sz val="11.0"/>
      <color theme="1"/>
      <name val="Calibri"/>
    </font>
    <font>
      <b/>
      <sz val="28.0"/>
      <color theme="1"/>
      <name val="Calibri"/>
    </font>
    <font>
      <b/>
      <sz val="16.0"/>
      <color rgb="FF1F497D"/>
      <name val="Calibri"/>
    </font>
    <font>
      <sz val="11.0"/>
      <color theme="0"/>
      <name val="Calibri"/>
    </font>
    <font>
      <sz val="11.0"/>
      <color rgb="FFFFFFFF"/>
      <name val="Calibri"/>
    </font>
    <font>
      <color theme="1"/>
      <name val="Calibri"/>
      <scheme val="minor"/>
    </font>
    <font>
      <sz val="19.0"/>
      <color theme="1"/>
      <name val="Calibri"/>
      <scheme val="minor"/>
    </font>
    <font/>
    <font>
      <sz val="16.0"/>
      <color theme="1"/>
      <name val="Calibri"/>
      <scheme val="minor"/>
    </font>
    <font>
      <sz val="12.0"/>
      <color theme="1"/>
      <name val="Calibri"/>
      <scheme val="minor"/>
    </font>
    <font>
      <sz val="16.0"/>
      <color theme="1"/>
      <name val="Calibri"/>
    </font>
    <font>
      <color theme="1"/>
      <name val="Century Gothic"/>
    </font>
    <font>
      <u/>
      <color rgb="FF0000FF"/>
    </font>
    <font>
      <b/>
      <sz val="13.0"/>
      <color theme="1"/>
      <name val="Calibri"/>
      <scheme val="minor"/>
    </font>
    <font>
      <b/>
      <color theme="1"/>
      <name val="Calibri"/>
      <scheme val="minor"/>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C9DAF8"/>
        <bgColor rgb="FFC9DAF8"/>
      </patternFill>
    </fill>
  </fills>
  <borders count="15">
    <border/>
    <border>
      <left/>
      <right/>
      <top/>
      <bottom/>
    </border>
    <border>
      <left style="thin">
        <color rgb="FF000000"/>
      </left>
      <right style="thin">
        <color rgb="FF000000"/>
      </right>
      <top style="thin">
        <color rgb="FF000000"/>
      </top>
      <bottom style="thin">
        <color rgb="FF000000"/>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1" fillId="2" fontId="2" numFmtId="0" xfId="0" applyBorder="1" applyFont="1"/>
    <xf borderId="1" fillId="2" fontId="1" numFmtId="0" xfId="0" applyBorder="1" applyFont="1"/>
    <xf borderId="1" fillId="2" fontId="3" numFmtId="0" xfId="0" applyBorder="1" applyFont="1"/>
    <xf borderId="2" fillId="3" fontId="4" numFmtId="0" xfId="0" applyAlignment="1" applyBorder="1" applyFill="1" applyFont="1">
      <alignment horizontal="center" shrinkToFit="0" vertical="center" wrapText="1"/>
    </xf>
    <xf borderId="2" fillId="3" fontId="5" numFmtId="0" xfId="0" applyAlignment="1" applyBorder="1" applyFont="1">
      <alignment horizontal="center" readingOrder="0" shrinkToFit="0" vertical="center" wrapText="1"/>
    </xf>
    <xf borderId="2" fillId="2" fontId="1" numFmtId="0" xfId="0" applyAlignment="1" applyBorder="1" applyFont="1">
      <alignment horizontal="center" readingOrder="0" shrinkToFit="0" vertical="center" wrapText="1"/>
    </xf>
    <xf borderId="2" fillId="0" fontId="6" numFmtId="0" xfId="0" applyAlignment="1" applyBorder="1" applyFont="1">
      <alignment horizontal="center" readingOrder="0" vertical="center"/>
    </xf>
    <xf borderId="2" fillId="0" fontId="1" numFmtId="0" xfId="0" applyAlignment="1" applyBorder="1" applyFont="1">
      <alignment horizontal="center" vertical="center"/>
    </xf>
    <xf borderId="3" fillId="2" fontId="1" numFmtId="0" xfId="0" applyBorder="1" applyFont="1"/>
    <xf borderId="2" fillId="0" fontId="1" numFmtId="0" xfId="0" applyAlignment="1" applyBorder="1" applyFont="1">
      <alignment horizontal="center" readingOrder="0" vertical="center"/>
    </xf>
    <xf borderId="4" fillId="4" fontId="7" numFmtId="0" xfId="0" applyAlignment="1" applyBorder="1" applyFill="1" applyFont="1">
      <alignment horizontal="center" readingOrder="0" vertical="center"/>
    </xf>
    <xf borderId="5" fillId="0" fontId="8" numFmtId="0" xfId="0" applyBorder="1" applyFont="1"/>
    <xf borderId="6" fillId="0" fontId="8" numFmtId="0" xfId="0" applyBorder="1" applyFont="1"/>
    <xf borderId="2" fillId="4" fontId="9" numFmtId="0" xfId="0" applyAlignment="1" applyBorder="1" applyFont="1">
      <alignment readingOrder="0"/>
    </xf>
    <xf borderId="2" fillId="4" fontId="9" numFmtId="0" xfId="0" applyAlignment="1" applyBorder="1" applyFont="1">
      <alignment readingOrder="0" shrinkToFit="0" wrapText="1"/>
    </xf>
    <xf borderId="7" fillId="0" fontId="10" numFmtId="0" xfId="0" applyAlignment="1" applyBorder="1" applyFont="1">
      <alignment horizontal="left" readingOrder="0" shrinkToFit="0" vertical="top" wrapText="1"/>
    </xf>
    <xf borderId="8" fillId="0" fontId="8" numFmtId="0" xfId="0" applyBorder="1" applyFont="1"/>
    <xf borderId="9" fillId="0" fontId="8" numFmtId="0" xfId="0" applyBorder="1" applyFont="1"/>
    <xf borderId="2" fillId="2" fontId="11" numFmtId="0" xfId="0" applyAlignment="1" applyBorder="1" applyFont="1">
      <alignment horizontal="center" readingOrder="0" shrinkToFit="0" vertical="center" wrapText="1"/>
    </xf>
    <xf borderId="2" fillId="0" fontId="9" numFmtId="0" xfId="0" applyAlignment="1" applyBorder="1" applyFont="1">
      <alignment horizontal="center" readingOrder="0" shrinkToFit="0" vertical="center" wrapText="1"/>
    </xf>
    <xf borderId="2" fillId="0" fontId="9" numFmtId="1" xfId="0" applyAlignment="1" applyBorder="1" applyFont="1" applyNumberFormat="1">
      <alignment horizontal="center" shrinkToFit="0" vertical="center" wrapText="1"/>
    </xf>
    <xf borderId="2" fillId="0" fontId="12" numFmtId="0" xfId="0" applyAlignment="1" applyBorder="1" applyFont="1">
      <alignment horizontal="center" readingOrder="0" shrinkToFit="0" vertical="center" wrapText="1"/>
    </xf>
    <xf borderId="10" fillId="0" fontId="8" numFmtId="0" xfId="0" applyBorder="1" applyFont="1"/>
    <xf borderId="11" fillId="0" fontId="8" numFmtId="0" xfId="0" applyBorder="1" applyFont="1"/>
    <xf borderId="12" fillId="0" fontId="8" numFmtId="0" xfId="0" applyBorder="1" applyFont="1"/>
    <xf borderId="13" fillId="0" fontId="8" numFmtId="0" xfId="0" applyBorder="1" applyFont="1"/>
    <xf borderId="14" fillId="0" fontId="8" numFmtId="0" xfId="0" applyBorder="1" applyFont="1"/>
    <xf borderId="4" fillId="0" fontId="13" numFmtId="0" xfId="0" applyAlignment="1" applyBorder="1" applyFont="1">
      <alignment horizontal="center" readingOrder="0" vertical="center"/>
    </xf>
    <xf borderId="2" fillId="4" fontId="14" numFmtId="0" xfId="0" applyAlignment="1" applyBorder="1" applyFont="1">
      <alignment readingOrder="0"/>
    </xf>
    <xf borderId="2" fillId="0" fontId="14" numFmtId="1" xfId="0" applyBorder="1" applyFont="1" applyNumberFormat="1"/>
    <xf borderId="2" fillId="0" fontId="14" numFmtId="164" xfId="0" applyBorder="1" applyFont="1" applyNumberFormat="1"/>
    <xf borderId="2" fillId="0" fontId="14" numFmtId="165" xfId="0" applyBorder="1" applyFont="1" applyNumberFormat="1"/>
    <xf borderId="0" fillId="0" fontId="6" numFmtId="9" xfId="0" applyAlignment="1" applyFont="1" applyNumberFormat="1">
      <alignment readingOrder="0"/>
    </xf>
    <xf borderId="0" fillId="0" fontId="15" numFmtId="0" xfId="0" applyFont="1"/>
    <xf borderId="0" fillId="0" fontId="6" numFmtId="1" xfId="0" applyFont="1" applyNumberFormat="1"/>
    <xf borderId="4" fillId="4" fontId="9" numFmtId="0" xfId="0" applyAlignment="1" applyBorder="1" applyFont="1">
      <alignment readingOrder="0" shrinkToFit="0" wrapText="1"/>
    </xf>
    <xf borderId="2" fillId="0" fontId="9" numFmtId="1" xfId="0" applyAlignment="1" applyBorder="1" applyFont="1" applyNumberFormat="1">
      <alignment horizontal="center" vertical="center"/>
    </xf>
    <xf borderId="0" fillId="0" fontId="6" numFmtId="0" xfId="0" applyFont="1"/>
    <xf borderId="2" fillId="3" fontId="4" numFmtId="0" xfId="0" applyBorder="1" applyFont="1"/>
    <xf borderId="2" fillId="2" fontId="1"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asana.com/es/resources/planning-poker"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88.71"/>
    <col customWidth="1" min="4" max="4" width="27.57"/>
    <col customWidth="1" min="5" max="5" width="15.43"/>
    <col customWidth="1" min="6" max="6" width="16.43"/>
    <col customWidth="1" min="7" max="7" width="16.14"/>
    <col customWidth="1" min="8" max="8" width="17.86"/>
    <col customWidth="1" min="9" max="9" width="24.71"/>
    <col customWidth="1" min="10" max="26" width="10.71"/>
  </cols>
  <sheetData>
    <row r="1">
      <c r="A1" s="1"/>
      <c r="B1" s="2" t="s">
        <v>0</v>
      </c>
      <c r="C1" s="3"/>
      <c r="D1" s="3"/>
      <c r="E1" s="3"/>
      <c r="F1" s="3"/>
      <c r="G1" s="3"/>
      <c r="H1" s="3"/>
      <c r="I1" s="3"/>
      <c r="J1" s="3"/>
      <c r="K1" s="3"/>
      <c r="L1" s="3"/>
      <c r="M1" s="3"/>
      <c r="N1" s="3"/>
      <c r="O1" s="3"/>
      <c r="P1" s="3"/>
      <c r="Q1" s="3"/>
      <c r="R1" s="3"/>
      <c r="S1" s="3"/>
      <c r="T1" s="3"/>
      <c r="U1" s="3"/>
      <c r="V1" s="3"/>
      <c r="W1" s="3"/>
      <c r="X1" s="3"/>
      <c r="Y1" s="3"/>
      <c r="Z1" s="3"/>
    </row>
    <row r="2">
      <c r="A2" s="3"/>
      <c r="B2" s="4"/>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3"/>
      <c r="B4" s="5" t="s">
        <v>1</v>
      </c>
      <c r="C4" s="5" t="s">
        <v>2</v>
      </c>
      <c r="D4" s="5" t="s">
        <v>3</v>
      </c>
      <c r="E4" s="5" t="s">
        <v>4</v>
      </c>
      <c r="F4" s="6" t="s">
        <v>5</v>
      </c>
      <c r="G4" s="5" t="s">
        <v>6</v>
      </c>
      <c r="H4" s="5" t="s">
        <v>7</v>
      </c>
      <c r="I4" s="5" t="s">
        <v>8</v>
      </c>
      <c r="J4" s="3"/>
      <c r="K4" s="3"/>
      <c r="L4" s="3"/>
      <c r="M4" s="3"/>
      <c r="N4" s="3"/>
      <c r="O4" s="3"/>
      <c r="P4" s="3"/>
      <c r="Q4" s="3"/>
      <c r="R4" s="3"/>
      <c r="S4" s="3"/>
      <c r="T4" s="3"/>
      <c r="U4" s="3"/>
      <c r="V4" s="3"/>
      <c r="W4" s="3"/>
      <c r="X4" s="3"/>
      <c r="Y4" s="3"/>
      <c r="Z4" s="3"/>
    </row>
    <row r="5" ht="36.0" customHeight="1">
      <c r="A5" s="3"/>
      <c r="B5" s="7" t="s">
        <v>9</v>
      </c>
      <c r="C5" s="7" t="s">
        <v>10</v>
      </c>
      <c r="D5" s="7" t="s">
        <v>11</v>
      </c>
      <c r="E5" s="7" t="s">
        <v>12</v>
      </c>
      <c r="F5" s="8">
        <v>4.0</v>
      </c>
      <c r="G5" s="7">
        <v>2.0</v>
      </c>
      <c r="H5" s="9" t="s">
        <v>13</v>
      </c>
      <c r="I5" s="7" t="s">
        <v>14</v>
      </c>
      <c r="J5" s="3"/>
      <c r="K5" s="3"/>
      <c r="L5" s="3"/>
      <c r="M5" s="3"/>
      <c r="N5" s="3"/>
      <c r="O5" s="3"/>
      <c r="P5" s="3"/>
      <c r="Q5" s="3"/>
      <c r="R5" s="3"/>
      <c r="S5" s="3"/>
      <c r="T5" s="3"/>
      <c r="U5" s="3"/>
      <c r="V5" s="3"/>
      <c r="W5" s="3"/>
      <c r="X5" s="3"/>
      <c r="Y5" s="3"/>
      <c r="Z5" s="3"/>
    </row>
    <row r="6">
      <c r="A6" s="3"/>
      <c r="B6" s="7" t="s">
        <v>15</v>
      </c>
      <c r="C6" s="7" t="s">
        <v>16</v>
      </c>
      <c r="D6" s="7" t="s">
        <v>17</v>
      </c>
      <c r="E6" s="7" t="s">
        <v>12</v>
      </c>
      <c r="F6" s="8">
        <v>4.0</v>
      </c>
      <c r="G6" s="7">
        <v>2.0</v>
      </c>
      <c r="H6" s="9" t="s">
        <v>13</v>
      </c>
      <c r="I6" s="7" t="s">
        <v>18</v>
      </c>
      <c r="J6" s="3"/>
      <c r="K6" s="3"/>
      <c r="L6" s="3"/>
      <c r="M6" s="3"/>
      <c r="N6" s="3"/>
      <c r="O6" s="3"/>
      <c r="P6" s="3"/>
      <c r="Q6" s="3"/>
      <c r="R6" s="3"/>
      <c r="S6" s="3"/>
      <c r="T6" s="3"/>
      <c r="U6" s="3"/>
      <c r="V6" s="3"/>
      <c r="W6" s="3"/>
      <c r="X6" s="3"/>
      <c r="Y6" s="3"/>
      <c r="Z6" s="3"/>
    </row>
    <row r="7">
      <c r="A7" s="3"/>
      <c r="B7" s="7" t="s">
        <v>19</v>
      </c>
      <c r="C7" s="7" t="s">
        <v>20</v>
      </c>
      <c r="D7" s="7" t="s">
        <v>21</v>
      </c>
      <c r="E7" s="7" t="s">
        <v>12</v>
      </c>
      <c r="F7" s="8">
        <v>3.0</v>
      </c>
      <c r="G7" s="7">
        <v>2.0</v>
      </c>
      <c r="H7" s="9" t="s">
        <v>13</v>
      </c>
      <c r="I7" s="8" t="s">
        <v>22</v>
      </c>
      <c r="J7" s="10"/>
      <c r="K7" s="3"/>
      <c r="L7" s="3"/>
      <c r="M7" s="3"/>
      <c r="N7" s="3"/>
      <c r="O7" s="3"/>
      <c r="P7" s="3"/>
      <c r="Q7" s="3"/>
      <c r="R7" s="3"/>
      <c r="S7" s="3"/>
      <c r="T7" s="3"/>
      <c r="U7" s="3"/>
      <c r="V7" s="3"/>
      <c r="W7" s="3"/>
      <c r="X7" s="3"/>
      <c r="Y7" s="3"/>
      <c r="Z7" s="3"/>
    </row>
    <row r="8">
      <c r="A8" s="3"/>
      <c r="B8" s="7" t="s">
        <v>23</v>
      </c>
      <c r="C8" s="7" t="s">
        <v>24</v>
      </c>
      <c r="D8" s="7" t="s">
        <v>25</v>
      </c>
      <c r="E8" s="7" t="s">
        <v>12</v>
      </c>
      <c r="F8" s="8">
        <v>3.0</v>
      </c>
      <c r="G8" s="7">
        <v>2.0</v>
      </c>
      <c r="H8" s="9" t="s">
        <v>13</v>
      </c>
      <c r="I8" s="7" t="s">
        <v>18</v>
      </c>
      <c r="J8" s="3"/>
      <c r="K8" s="3"/>
      <c r="L8" s="3"/>
      <c r="M8" s="3"/>
      <c r="N8" s="3"/>
      <c r="O8" s="3"/>
      <c r="P8" s="3"/>
      <c r="Q8" s="3"/>
      <c r="R8" s="3"/>
      <c r="S8" s="3"/>
      <c r="T8" s="3"/>
      <c r="U8" s="3"/>
      <c r="V8" s="3"/>
      <c r="W8" s="3"/>
      <c r="X8" s="3"/>
      <c r="Y8" s="3"/>
      <c r="Z8" s="3"/>
    </row>
    <row r="9">
      <c r="A9" s="3"/>
      <c r="B9" s="7" t="s">
        <v>26</v>
      </c>
      <c r="C9" s="7" t="s">
        <v>27</v>
      </c>
      <c r="D9" s="7" t="s">
        <v>28</v>
      </c>
      <c r="E9" s="7" t="s">
        <v>12</v>
      </c>
      <c r="F9" s="8">
        <v>3.0</v>
      </c>
      <c r="G9" s="7">
        <v>2.0</v>
      </c>
      <c r="H9" s="9" t="s">
        <v>13</v>
      </c>
      <c r="I9" s="7" t="s">
        <v>29</v>
      </c>
      <c r="J9" s="3"/>
      <c r="K9" s="3"/>
      <c r="L9" s="3"/>
      <c r="M9" s="3"/>
      <c r="N9" s="3"/>
      <c r="O9" s="3"/>
      <c r="P9" s="3"/>
      <c r="Q9" s="3"/>
      <c r="R9" s="3"/>
      <c r="S9" s="3"/>
      <c r="T9" s="3"/>
      <c r="U9" s="3"/>
      <c r="V9" s="3"/>
      <c r="W9" s="3"/>
      <c r="X9" s="3"/>
      <c r="Y9" s="3"/>
      <c r="Z9" s="3"/>
    </row>
    <row r="10">
      <c r="A10" s="3"/>
      <c r="B10" s="7" t="s">
        <v>30</v>
      </c>
      <c r="C10" s="7" t="s">
        <v>31</v>
      </c>
      <c r="D10" s="7" t="s">
        <v>32</v>
      </c>
      <c r="E10" s="7" t="s">
        <v>12</v>
      </c>
      <c r="F10" s="8">
        <v>2.0</v>
      </c>
      <c r="G10" s="7">
        <v>2.0</v>
      </c>
      <c r="H10" s="9" t="s">
        <v>13</v>
      </c>
      <c r="I10" s="7" t="s">
        <v>33</v>
      </c>
      <c r="J10" s="3"/>
      <c r="K10" s="3"/>
      <c r="L10" s="3"/>
      <c r="M10" s="3"/>
      <c r="N10" s="3"/>
      <c r="O10" s="3"/>
      <c r="P10" s="3"/>
      <c r="Q10" s="3"/>
      <c r="R10" s="3"/>
      <c r="S10" s="3"/>
      <c r="T10" s="3"/>
      <c r="U10" s="3"/>
      <c r="V10" s="3"/>
      <c r="W10" s="3"/>
      <c r="X10" s="3"/>
      <c r="Y10" s="3"/>
      <c r="Z10" s="3"/>
    </row>
    <row r="11">
      <c r="A11" s="3"/>
      <c r="B11" s="7" t="s">
        <v>34</v>
      </c>
      <c r="C11" s="7" t="s">
        <v>35</v>
      </c>
      <c r="D11" s="7" t="s">
        <v>36</v>
      </c>
      <c r="E11" s="7" t="s">
        <v>12</v>
      </c>
      <c r="F11" s="8">
        <v>3.0</v>
      </c>
      <c r="G11" s="7">
        <v>2.0</v>
      </c>
      <c r="H11" s="9" t="s">
        <v>13</v>
      </c>
      <c r="I11" s="7" t="s">
        <v>37</v>
      </c>
      <c r="J11" s="3"/>
      <c r="K11" s="3"/>
      <c r="L11" s="3"/>
      <c r="M11" s="3"/>
      <c r="N11" s="3"/>
      <c r="O11" s="3"/>
      <c r="P11" s="3"/>
      <c r="Q11" s="3"/>
      <c r="R11" s="3"/>
      <c r="S11" s="3"/>
      <c r="T11" s="3"/>
      <c r="U11" s="3"/>
      <c r="V11" s="3"/>
      <c r="W11" s="3"/>
      <c r="X11" s="3"/>
      <c r="Y11" s="3"/>
      <c r="Z11" s="3"/>
    </row>
    <row r="12">
      <c r="A12" s="3"/>
      <c r="B12" s="7" t="s">
        <v>38</v>
      </c>
      <c r="C12" s="7" t="s">
        <v>39</v>
      </c>
      <c r="D12" s="7" t="s">
        <v>40</v>
      </c>
      <c r="E12" s="7" t="s">
        <v>12</v>
      </c>
      <c r="F12" s="8">
        <v>2.0</v>
      </c>
      <c r="G12" s="7">
        <v>2.0</v>
      </c>
      <c r="H12" s="11" t="s">
        <v>13</v>
      </c>
      <c r="I12" s="7" t="s">
        <v>41</v>
      </c>
      <c r="J12" s="3"/>
      <c r="K12" s="3"/>
      <c r="L12" s="3"/>
      <c r="M12" s="3"/>
      <c r="N12" s="3"/>
      <c r="O12" s="3"/>
      <c r="P12" s="3"/>
      <c r="Q12" s="3"/>
      <c r="R12" s="3"/>
      <c r="S12" s="3"/>
      <c r="T12" s="3"/>
      <c r="U12" s="3"/>
      <c r="V12" s="3"/>
      <c r="W12" s="3"/>
      <c r="X12" s="3"/>
      <c r="Y12" s="3"/>
      <c r="Z12" s="3"/>
    </row>
    <row r="13">
      <c r="A13" s="3"/>
      <c r="B13" s="7" t="s">
        <v>42</v>
      </c>
      <c r="C13" s="7" t="s">
        <v>43</v>
      </c>
      <c r="D13" s="7" t="s">
        <v>28</v>
      </c>
      <c r="E13" s="7" t="s">
        <v>12</v>
      </c>
      <c r="F13" s="8">
        <v>3.0</v>
      </c>
      <c r="G13" s="7">
        <v>2.0</v>
      </c>
      <c r="H13" s="11" t="s">
        <v>44</v>
      </c>
      <c r="I13" s="7" t="s">
        <v>29</v>
      </c>
      <c r="J13" s="3"/>
      <c r="K13" s="3"/>
      <c r="L13" s="3"/>
      <c r="M13" s="3"/>
      <c r="N13" s="3"/>
      <c r="O13" s="3"/>
      <c r="P13" s="3"/>
      <c r="Q13" s="3"/>
      <c r="R13" s="3"/>
      <c r="S13" s="3"/>
      <c r="T13" s="3"/>
      <c r="U13" s="3"/>
      <c r="V13" s="3"/>
      <c r="W13" s="3"/>
      <c r="X13" s="3"/>
      <c r="Y13" s="3"/>
      <c r="Z13" s="3"/>
    </row>
    <row r="14">
      <c r="A14" s="3"/>
      <c r="B14" s="7" t="s">
        <v>45</v>
      </c>
      <c r="C14" s="7" t="s">
        <v>46</v>
      </c>
      <c r="D14" s="7" t="s">
        <v>32</v>
      </c>
      <c r="E14" s="7" t="s">
        <v>12</v>
      </c>
      <c r="F14" s="8">
        <v>2.0</v>
      </c>
      <c r="G14" s="7">
        <v>2.0</v>
      </c>
      <c r="H14" s="11" t="s">
        <v>44</v>
      </c>
      <c r="I14" s="7" t="s">
        <v>33</v>
      </c>
      <c r="J14" s="3"/>
      <c r="K14" s="3"/>
      <c r="L14" s="3"/>
      <c r="M14" s="3"/>
      <c r="N14" s="3"/>
      <c r="O14" s="3"/>
      <c r="P14" s="3"/>
      <c r="Q14" s="3"/>
      <c r="R14" s="3"/>
      <c r="S14" s="3"/>
      <c r="T14" s="3"/>
      <c r="U14" s="3"/>
      <c r="V14" s="3"/>
      <c r="W14" s="3"/>
      <c r="X14" s="3"/>
      <c r="Y14" s="3"/>
      <c r="Z14" s="3"/>
    </row>
    <row r="15">
      <c r="A15" s="3"/>
      <c r="B15" s="7" t="s">
        <v>47</v>
      </c>
      <c r="C15" s="7" t="s">
        <v>48</v>
      </c>
      <c r="D15" s="7" t="s">
        <v>36</v>
      </c>
      <c r="E15" s="7" t="s">
        <v>12</v>
      </c>
      <c r="F15" s="8">
        <v>2.0</v>
      </c>
      <c r="G15" s="7">
        <v>2.0</v>
      </c>
      <c r="H15" s="11" t="s">
        <v>44</v>
      </c>
      <c r="I15" s="7" t="s">
        <v>37</v>
      </c>
      <c r="J15" s="3"/>
      <c r="K15" s="3"/>
      <c r="L15" s="3"/>
      <c r="M15" s="3"/>
      <c r="N15" s="3"/>
      <c r="O15" s="3"/>
      <c r="P15" s="3"/>
      <c r="Q15" s="3"/>
      <c r="R15" s="3"/>
      <c r="S15" s="3"/>
      <c r="T15" s="3"/>
      <c r="U15" s="3"/>
      <c r="V15" s="3"/>
      <c r="W15" s="3"/>
      <c r="X15" s="3"/>
      <c r="Y15" s="3"/>
      <c r="Z15" s="3"/>
    </row>
    <row r="16">
      <c r="A16" s="3"/>
      <c r="B16" s="7" t="s">
        <v>49</v>
      </c>
      <c r="C16" s="7" t="s">
        <v>50</v>
      </c>
      <c r="D16" s="7" t="s">
        <v>51</v>
      </c>
      <c r="E16" s="7" t="s">
        <v>12</v>
      </c>
      <c r="F16" s="8">
        <v>4.0</v>
      </c>
      <c r="G16" s="7">
        <v>2.0</v>
      </c>
      <c r="H16" s="9" t="s">
        <v>52</v>
      </c>
      <c r="I16" s="7" t="s">
        <v>41</v>
      </c>
      <c r="J16" s="3"/>
      <c r="K16" s="3"/>
      <c r="L16" s="3"/>
      <c r="M16" s="3"/>
      <c r="N16" s="3"/>
      <c r="O16" s="3"/>
      <c r="P16" s="3"/>
      <c r="Q16" s="3"/>
      <c r="R16" s="3"/>
      <c r="S16" s="3"/>
      <c r="T16" s="3"/>
      <c r="U16" s="3"/>
      <c r="V16" s="3"/>
      <c r="W16" s="3"/>
      <c r="X16" s="3"/>
      <c r="Y16" s="3"/>
      <c r="Z16" s="3"/>
    </row>
    <row r="17">
      <c r="A17" s="3"/>
      <c r="B17" s="7" t="s">
        <v>53</v>
      </c>
      <c r="C17" s="7" t="s">
        <v>54</v>
      </c>
      <c r="D17" s="7" t="s">
        <v>55</v>
      </c>
      <c r="E17" s="7" t="s">
        <v>12</v>
      </c>
      <c r="F17" s="8">
        <v>3.0</v>
      </c>
      <c r="G17" s="7">
        <v>2.0</v>
      </c>
      <c r="H17" s="9" t="s">
        <v>13</v>
      </c>
      <c r="I17" s="7" t="s">
        <v>56</v>
      </c>
      <c r="J17" s="3"/>
      <c r="K17" s="3"/>
      <c r="L17" s="3"/>
      <c r="M17" s="3"/>
      <c r="N17" s="3"/>
      <c r="O17" s="3"/>
      <c r="P17" s="3"/>
      <c r="Q17" s="3"/>
      <c r="R17" s="3"/>
      <c r="S17" s="3"/>
      <c r="T17" s="3"/>
      <c r="U17" s="3"/>
      <c r="V17" s="3"/>
      <c r="W17" s="3"/>
      <c r="X17" s="3"/>
      <c r="Y17" s="3"/>
      <c r="Z17" s="3"/>
    </row>
    <row r="18">
      <c r="A18" s="3"/>
      <c r="B18" s="7" t="s">
        <v>57</v>
      </c>
      <c r="C18" s="7" t="s">
        <v>58</v>
      </c>
      <c r="D18" s="7" t="s">
        <v>59</v>
      </c>
      <c r="E18" s="7" t="s">
        <v>12</v>
      </c>
      <c r="F18" s="8">
        <v>2.0</v>
      </c>
      <c r="G18" s="7">
        <v>2.0</v>
      </c>
      <c r="H18" s="9" t="s">
        <v>60</v>
      </c>
      <c r="I18" s="7" t="s">
        <v>61</v>
      </c>
      <c r="J18" s="3"/>
      <c r="K18" s="3"/>
      <c r="L18" s="3"/>
      <c r="M18" s="3"/>
      <c r="N18" s="3"/>
      <c r="O18" s="3"/>
      <c r="P18" s="3"/>
      <c r="Q18" s="3"/>
      <c r="R18" s="3"/>
      <c r="S18" s="3"/>
      <c r="T18" s="3"/>
      <c r="U18" s="3"/>
      <c r="V18" s="3"/>
      <c r="W18" s="3"/>
      <c r="X18" s="3"/>
      <c r="Y18" s="3"/>
      <c r="Z18" s="3"/>
    </row>
    <row r="19">
      <c r="A19" s="3"/>
      <c r="B19" s="7" t="s">
        <v>62</v>
      </c>
      <c r="C19" s="7" t="s">
        <v>63</v>
      </c>
      <c r="D19" s="7" t="s">
        <v>64</v>
      </c>
      <c r="E19" s="7" t="s">
        <v>12</v>
      </c>
      <c r="F19" s="8">
        <v>2.0</v>
      </c>
      <c r="G19" s="7">
        <v>2.0</v>
      </c>
      <c r="H19" s="9" t="s">
        <v>60</v>
      </c>
      <c r="I19" s="7" t="s">
        <v>65</v>
      </c>
      <c r="J19" s="3"/>
      <c r="K19" s="3"/>
      <c r="L19" s="3"/>
      <c r="M19" s="3"/>
      <c r="N19" s="3"/>
      <c r="O19" s="3"/>
      <c r="P19" s="3"/>
      <c r="Q19" s="3"/>
      <c r="R19" s="3"/>
      <c r="S19" s="3"/>
      <c r="T19" s="3"/>
      <c r="U19" s="3"/>
      <c r="V19" s="3"/>
      <c r="W19" s="3"/>
      <c r="X19" s="3"/>
      <c r="Y19" s="3"/>
      <c r="Z19" s="3"/>
    </row>
    <row r="20">
      <c r="A20" s="3"/>
      <c r="B20" s="7" t="s">
        <v>66</v>
      </c>
      <c r="C20" s="7" t="s">
        <v>67</v>
      </c>
      <c r="D20" s="7" t="s">
        <v>68</v>
      </c>
      <c r="E20" s="7" t="s">
        <v>12</v>
      </c>
      <c r="F20" s="8">
        <v>2.0</v>
      </c>
      <c r="G20" s="7">
        <v>2.0</v>
      </c>
      <c r="H20" s="9" t="s">
        <v>60</v>
      </c>
      <c r="I20" s="7" t="s">
        <v>69</v>
      </c>
      <c r="J20" s="3"/>
      <c r="K20" s="3"/>
      <c r="L20" s="3"/>
      <c r="M20" s="3"/>
      <c r="N20" s="3"/>
      <c r="O20" s="3"/>
      <c r="P20" s="3"/>
      <c r="Q20" s="3"/>
      <c r="R20" s="3"/>
      <c r="S20" s="3"/>
      <c r="T20" s="3"/>
      <c r="U20" s="3"/>
      <c r="V20" s="3"/>
      <c r="W20" s="3"/>
      <c r="X20" s="3"/>
      <c r="Y20" s="3"/>
      <c r="Z20" s="3"/>
    </row>
    <row r="21">
      <c r="A21" s="3"/>
      <c r="B21" s="7" t="s">
        <v>70</v>
      </c>
      <c r="C21" s="7" t="s">
        <v>71</v>
      </c>
      <c r="D21" s="7" t="s">
        <v>72</v>
      </c>
      <c r="E21" s="7" t="s">
        <v>12</v>
      </c>
      <c r="F21" s="8">
        <v>2.0</v>
      </c>
      <c r="G21" s="7">
        <v>2.0</v>
      </c>
      <c r="H21" s="9" t="s">
        <v>60</v>
      </c>
      <c r="I21" s="7" t="s">
        <v>73</v>
      </c>
      <c r="J21" s="3"/>
      <c r="K21" s="3"/>
      <c r="L21" s="3"/>
      <c r="M21" s="3"/>
      <c r="N21" s="3"/>
      <c r="O21" s="3"/>
      <c r="P21" s="3"/>
      <c r="Q21" s="3"/>
      <c r="R21" s="3"/>
      <c r="S21" s="3"/>
      <c r="T21" s="3"/>
      <c r="U21" s="3"/>
      <c r="V21" s="3"/>
      <c r="W21" s="3"/>
      <c r="X21" s="3"/>
      <c r="Y21" s="3"/>
      <c r="Z21" s="3"/>
    </row>
    <row r="22">
      <c r="A22" s="3"/>
      <c r="B22" s="7" t="s">
        <v>74</v>
      </c>
      <c r="C22" s="7" t="s">
        <v>75</v>
      </c>
      <c r="D22" s="7" t="s">
        <v>76</v>
      </c>
      <c r="E22" s="7" t="s">
        <v>12</v>
      </c>
      <c r="F22" s="8">
        <v>4.0</v>
      </c>
      <c r="G22" s="7">
        <v>2.0</v>
      </c>
      <c r="H22" s="9" t="s">
        <v>52</v>
      </c>
      <c r="I22" s="7" t="s">
        <v>77</v>
      </c>
      <c r="J22" s="3"/>
      <c r="K22" s="3"/>
      <c r="L22" s="3"/>
      <c r="M22" s="3"/>
      <c r="N22" s="3"/>
      <c r="O22" s="3"/>
      <c r="P22" s="3"/>
      <c r="Q22" s="3"/>
      <c r="R22" s="3"/>
      <c r="S22" s="3"/>
      <c r="T22" s="3"/>
      <c r="U22" s="3"/>
      <c r="V22" s="3"/>
      <c r="W22" s="3"/>
      <c r="X22" s="3"/>
      <c r="Y22" s="3"/>
      <c r="Z22" s="3"/>
    </row>
    <row r="23" ht="15.75" customHeight="1">
      <c r="A23" s="3"/>
      <c r="B23" s="7" t="s">
        <v>78</v>
      </c>
      <c r="C23" s="7" t="s">
        <v>79</v>
      </c>
      <c r="D23" s="7" t="s">
        <v>51</v>
      </c>
      <c r="E23" s="7" t="s">
        <v>12</v>
      </c>
      <c r="F23" s="8">
        <v>5.0</v>
      </c>
      <c r="G23" s="7">
        <v>2.0</v>
      </c>
      <c r="H23" s="11" t="s">
        <v>13</v>
      </c>
      <c r="I23" s="7" t="s">
        <v>80</v>
      </c>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ht="15.7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ht="15.75" customHeight="1">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printOptions/>
  <pageMargins bottom="0.7480314960629921" footer="0.0" header="0.0" left="0.2362204724409449" right="0.2362204724409449" top="0.7480314960629921"/>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13.43"/>
    <col customWidth="1" min="4" max="4" width="12.71"/>
    <col customWidth="1" min="5" max="5" width="11.43"/>
    <col customWidth="1" min="6" max="6" width="19.0"/>
    <col customWidth="1" min="7" max="7" width="18.14"/>
    <col customWidth="1" min="10" max="10" width="25.14"/>
  </cols>
  <sheetData>
    <row r="1">
      <c r="B1" s="12" t="s">
        <v>81</v>
      </c>
      <c r="C1" s="13"/>
      <c r="D1" s="13"/>
      <c r="E1" s="13"/>
      <c r="F1" s="14"/>
    </row>
    <row r="2">
      <c r="B2" s="15" t="s">
        <v>82</v>
      </c>
      <c r="C2" s="16" t="s">
        <v>83</v>
      </c>
      <c r="D2" s="16" t="s">
        <v>84</v>
      </c>
      <c r="E2" s="16" t="s">
        <v>85</v>
      </c>
      <c r="F2" s="15" t="s">
        <v>86</v>
      </c>
      <c r="G2" s="16" t="s">
        <v>87</v>
      </c>
      <c r="J2" s="17" t="s">
        <v>88</v>
      </c>
      <c r="K2" s="18"/>
      <c r="L2" s="18"/>
      <c r="M2" s="18"/>
      <c r="N2" s="19"/>
    </row>
    <row r="3">
      <c r="B3" s="20" t="str">
        <f>'Historias de Usuario'!B5</f>
        <v>PB-01</v>
      </c>
      <c r="C3" s="21">
        <v>5.0</v>
      </c>
      <c r="D3" s="21">
        <v>8.0</v>
      </c>
      <c r="E3" s="21">
        <v>8.0</v>
      </c>
      <c r="F3" s="22">
        <f t="shared" ref="F3:F21" si="1">(SUM(C3:E3)/3)</f>
        <v>7</v>
      </c>
      <c r="G3" s="23" t="s">
        <v>89</v>
      </c>
      <c r="J3" s="24"/>
      <c r="N3" s="25"/>
    </row>
    <row r="4">
      <c r="B4" s="20" t="str">
        <f>'Historias de Usuario'!B6</f>
        <v>PB-02</v>
      </c>
      <c r="C4" s="21">
        <v>3.0</v>
      </c>
      <c r="D4" s="21">
        <v>5.0</v>
      </c>
      <c r="E4" s="21">
        <v>8.0</v>
      </c>
      <c r="F4" s="22">
        <f t="shared" si="1"/>
        <v>5.333333333</v>
      </c>
      <c r="G4" s="23" t="s">
        <v>89</v>
      </c>
      <c r="J4" s="24"/>
      <c r="N4" s="25"/>
    </row>
    <row r="5">
      <c r="B5" s="20" t="str">
        <f>'Historias de Usuario'!B7</f>
        <v>PB-03</v>
      </c>
      <c r="C5" s="21">
        <v>3.0</v>
      </c>
      <c r="D5" s="21">
        <v>8.0</v>
      </c>
      <c r="E5" s="21">
        <v>13.0</v>
      </c>
      <c r="F5" s="22">
        <f t="shared" si="1"/>
        <v>8</v>
      </c>
      <c r="G5" s="23" t="s">
        <v>89</v>
      </c>
      <c r="J5" s="26"/>
      <c r="K5" s="27"/>
      <c r="L5" s="27"/>
      <c r="M5" s="27"/>
      <c r="N5" s="28"/>
    </row>
    <row r="6">
      <c r="B6" s="20" t="str">
        <f>'Historias de Usuario'!B8</f>
        <v>PB-04</v>
      </c>
      <c r="C6" s="21">
        <v>5.0</v>
      </c>
      <c r="D6" s="21">
        <v>8.0</v>
      </c>
      <c r="E6" s="21">
        <v>8.0</v>
      </c>
      <c r="F6" s="22">
        <f t="shared" si="1"/>
        <v>7</v>
      </c>
      <c r="G6" s="23" t="s">
        <v>89</v>
      </c>
      <c r="J6" s="29" t="s">
        <v>90</v>
      </c>
      <c r="K6" s="13"/>
      <c r="L6" s="13"/>
      <c r="M6" s="13"/>
      <c r="N6" s="14"/>
    </row>
    <row r="7">
      <c r="B7" s="20" t="str">
        <f>'Historias de Usuario'!B9</f>
        <v>PB-05</v>
      </c>
      <c r="C7" s="21">
        <v>3.0</v>
      </c>
      <c r="D7" s="21">
        <v>5.0</v>
      </c>
      <c r="E7" s="21">
        <v>8.0</v>
      </c>
      <c r="F7" s="22">
        <f t="shared" si="1"/>
        <v>5.333333333</v>
      </c>
      <c r="G7" s="23" t="s">
        <v>89</v>
      </c>
    </row>
    <row r="8">
      <c r="B8" s="20" t="str">
        <f>'Historias de Usuario'!B10</f>
        <v>PB-06</v>
      </c>
      <c r="C8" s="21">
        <v>3.0</v>
      </c>
      <c r="D8" s="21">
        <v>8.0</v>
      </c>
      <c r="E8" s="21">
        <v>8.0</v>
      </c>
      <c r="F8" s="22">
        <f t="shared" si="1"/>
        <v>6.333333333</v>
      </c>
      <c r="G8" s="23" t="s">
        <v>89</v>
      </c>
    </row>
    <row r="9">
      <c r="B9" s="20" t="str">
        <f>'Historias de Usuario'!B11</f>
        <v>PB-07</v>
      </c>
      <c r="C9" s="21">
        <v>8.0</v>
      </c>
      <c r="D9" s="21">
        <v>8.0</v>
      </c>
      <c r="E9" s="21">
        <v>8.0</v>
      </c>
      <c r="F9" s="22">
        <f t="shared" si="1"/>
        <v>8</v>
      </c>
      <c r="G9" s="23" t="s">
        <v>89</v>
      </c>
    </row>
    <row r="10">
      <c r="B10" s="20" t="str">
        <f>'Historias de Usuario'!B12</f>
        <v>PB-08</v>
      </c>
      <c r="C10" s="21">
        <v>13.0</v>
      </c>
      <c r="D10" s="21">
        <v>13.0</v>
      </c>
      <c r="E10" s="21">
        <v>13.0</v>
      </c>
      <c r="F10" s="22">
        <f t="shared" si="1"/>
        <v>13</v>
      </c>
      <c r="G10" s="23" t="s">
        <v>89</v>
      </c>
    </row>
    <row r="11">
      <c r="B11" s="20" t="str">
        <f>'Historias de Usuario'!B13</f>
        <v>PB-09</v>
      </c>
      <c r="C11" s="21">
        <v>5.0</v>
      </c>
      <c r="D11" s="21">
        <v>13.0</v>
      </c>
      <c r="E11" s="21">
        <v>20.0</v>
      </c>
      <c r="F11" s="22">
        <f t="shared" si="1"/>
        <v>12.66666667</v>
      </c>
      <c r="G11" s="23" t="s">
        <v>89</v>
      </c>
      <c r="J11" s="30" t="s">
        <v>91</v>
      </c>
      <c r="K11" s="31">
        <f>F22</f>
        <v>193</v>
      </c>
    </row>
    <row r="12">
      <c r="B12" s="20" t="str">
        <f>'Historias de Usuario'!B14</f>
        <v>PB-10</v>
      </c>
      <c r="C12" s="21">
        <v>5.0</v>
      </c>
      <c r="D12" s="21">
        <v>5.0</v>
      </c>
      <c r="E12" s="21">
        <v>8.0</v>
      </c>
      <c r="F12" s="22">
        <f t="shared" si="1"/>
        <v>6</v>
      </c>
      <c r="G12" s="23" t="s">
        <v>89</v>
      </c>
      <c r="J12" s="30" t="s">
        <v>92</v>
      </c>
      <c r="K12" s="32">
        <f>SUMIF($G$2:$G$21,"Finalizada",$F$2:$F$21)
</f>
        <v>193</v>
      </c>
    </row>
    <row r="13">
      <c r="B13" s="20" t="str">
        <f>'Historias de Usuario'!B15</f>
        <v>PB-11</v>
      </c>
      <c r="C13" s="21">
        <v>3.0</v>
      </c>
      <c r="D13" s="21">
        <v>8.0</v>
      </c>
      <c r="E13" s="21">
        <v>8.0</v>
      </c>
      <c r="F13" s="22">
        <f t="shared" si="1"/>
        <v>6.333333333</v>
      </c>
      <c r="G13" s="23" t="s">
        <v>89</v>
      </c>
      <c r="J13" s="30" t="s">
        <v>93</v>
      </c>
      <c r="K13" s="33">
        <f>SUMIF($G$2:$G$21,"Finalizada",$F$2:$F$21)/K11
</f>
        <v>1</v>
      </c>
      <c r="L13" s="34"/>
    </row>
    <row r="14">
      <c r="B14" s="20" t="str">
        <f>'Historias de Usuario'!B16</f>
        <v>PB-12</v>
      </c>
      <c r="C14" s="21">
        <v>21.0</v>
      </c>
      <c r="D14" s="21">
        <v>13.0</v>
      </c>
      <c r="E14" s="21">
        <v>13.0</v>
      </c>
      <c r="F14" s="22">
        <f t="shared" si="1"/>
        <v>15.66666667</v>
      </c>
      <c r="G14" s="23" t="s">
        <v>89</v>
      </c>
    </row>
    <row r="15">
      <c r="B15" s="20" t="str">
        <f>'Historias de Usuario'!B17</f>
        <v>PB-13</v>
      </c>
      <c r="C15" s="21">
        <v>13.0</v>
      </c>
      <c r="D15" s="21">
        <v>13.0</v>
      </c>
      <c r="E15" s="21">
        <v>20.0</v>
      </c>
      <c r="F15" s="22">
        <f t="shared" si="1"/>
        <v>15.33333333</v>
      </c>
      <c r="G15" s="23" t="s">
        <v>89</v>
      </c>
    </row>
    <row r="16">
      <c r="B16" s="20" t="str">
        <f>'Historias de Usuario'!B18</f>
        <v>PB-14</v>
      </c>
      <c r="C16" s="21">
        <v>5.0</v>
      </c>
      <c r="D16" s="21">
        <v>8.0</v>
      </c>
      <c r="E16" s="21">
        <v>13.0</v>
      </c>
      <c r="F16" s="22">
        <f t="shared" si="1"/>
        <v>8.666666667</v>
      </c>
      <c r="G16" s="23" t="s">
        <v>89</v>
      </c>
    </row>
    <row r="17">
      <c r="B17" s="20" t="str">
        <f>'Historias de Usuario'!B19</f>
        <v>PB-15</v>
      </c>
      <c r="C17" s="21">
        <v>13.0</v>
      </c>
      <c r="D17" s="21">
        <v>21.0</v>
      </c>
      <c r="E17" s="21">
        <v>13.0</v>
      </c>
      <c r="F17" s="22">
        <f t="shared" si="1"/>
        <v>15.66666667</v>
      </c>
      <c r="G17" s="23" t="s">
        <v>89</v>
      </c>
      <c r="M17" s="35"/>
    </row>
    <row r="18">
      <c r="B18" s="20" t="str">
        <f>'Historias de Usuario'!B20</f>
        <v>PB-16</v>
      </c>
      <c r="C18" s="21">
        <v>8.0</v>
      </c>
      <c r="D18" s="21">
        <v>8.0</v>
      </c>
      <c r="E18" s="21">
        <v>13.0</v>
      </c>
      <c r="F18" s="22">
        <f t="shared" si="1"/>
        <v>9.666666667</v>
      </c>
      <c r="G18" s="23" t="s">
        <v>89</v>
      </c>
      <c r="J18" s="36"/>
    </row>
    <row r="19">
      <c r="B19" s="20" t="str">
        <f>'Historias de Usuario'!B21</f>
        <v>PB-17</v>
      </c>
      <c r="C19" s="21">
        <v>8.0</v>
      </c>
      <c r="D19" s="21">
        <v>8.0</v>
      </c>
      <c r="E19" s="21">
        <v>13.0</v>
      </c>
      <c r="F19" s="22">
        <f t="shared" si="1"/>
        <v>9.666666667</v>
      </c>
      <c r="G19" s="23" t="s">
        <v>89</v>
      </c>
      <c r="J19" s="36"/>
    </row>
    <row r="20">
      <c r="B20" s="20" t="str">
        <f>'Historias de Usuario'!B22</f>
        <v>PB-18</v>
      </c>
      <c r="C20" s="21">
        <v>21.0</v>
      </c>
      <c r="D20" s="21">
        <v>21.0</v>
      </c>
      <c r="E20" s="21">
        <v>40.0</v>
      </c>
      <c r="F20" s="22">
        <f t="shared" si="1"/>
        <v>27.33333333</v>
      </c>
      <c r="G20" s="23" t="s">
        <v>89</v>
      </c>
      <c r="J20" s="36"/>
    </row>
    <row r="21">
      <c r="B21" s="20" t="str">
        <f>'Historias de Usuario'!B23</f>
        <v>PB-19</v>
      </c>
      <c r="C21" s="21">
        <v>8.0</v>
      </c>
      <c r="D21" s="21">
        <v>5.0</v>
      </c>
      <c r="E21" s="21">
        <v>5.0</v>
      </c>
      <c r="F21" s="22">
        <f t="shared" si="1"/>
        <v>6</v>
      </c>
      <c r="G21" s="23" t="s">
        <v>89</v>
      </c>
      <c r="J21" s="36"/>
    </row>
    <row r="22">
      <c r="B22" s="37" t="s">
        <v>94</v>
      </c>
      <c r="C22" s="13"/>
      <c r="D22" s="13"/>
      <c r="E22" s="14"/>
      <c r="F22" s="38">
        <f>SUM(F3:F21)</f>
        <v>193</v>
      </c>
      <c r="J22" s="36"/>
    </row>
    <row r="23">
      <c r="B23" s="39" t="str">
        <f>'Historias de Usuario'!B24</f>
        <v/>
      </c>
      <c r="J23" s="36"/>
    </row>
    <row r="24">
      <c r="J24" s="36"/>
    </row>
    <row r="25">
      <c r="J25" s="36"/>
    </row>
    <row r="26">
      <c r="J26" s="36"/>
    </row>
    <row r="27">
      <c r="J27" s="36"/>
    </row>
    <row r="28">
      <c r="J28" s="36"/>
    </row>
    <row r="29">
      <c r="J29" s="36"/>
    </row>
    <row r="30">
      <c r="J30" s="36"/>
    </row>
    <row r="31">
      <c r="J31" s="36"/>
    </row>
    <row r="32">
      <c r="J32" s="36"/>
    </row>
    <row r="33">
      <c r="J33" s="36"/>
    </row>
    <row r="34">
      <c r="J34" s="36"/>
    </row>
    <row r="35">
      <c r="J35" s="36"/>
    </row>
    <row r="36">
      <c r="J36" s="36"/>
    </row>
  </sheetData>
  <mergeCells count="4">
    <mergeCell ref="B1:F1"/>
    <mergeCell ref="J2:N5"/>
    <mergeCell ref="J6:N6"/>
    <mergeCell ref="B22:E22"/>
  </mergeCells>
  <dataValidations>
    <dataValidation type="list" allowBlank="1" showErrorMessage="1" sqref="G3:G21">
      <formula1>"Finalizada,En Curso"</formula1>
    </dataValidation>
  </dataValidations>
  <hyperlinks>
    <hyperlink r:id="rId1" ref="J6"/>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3"/>
      <c r="B1" s="2" t="s">
        <v>95</v>
      </c>
      <c r="C1" s="3"/>
      <c r="D1" s="3"/>
      <c r="E1" s="3"/>
      <c r="F1" s="3"/>
      <c r="G1" s="3"/>
      <c r="H1" s="3"/>
      <c r="I1" s="3"/>
      <c r="J1" s="3"/>
      <c r="K1" s="3"/>
      <c r="L1" s="3"/>
      <c r="M1" s="3"/>
      <c r="N1" s="3"/>
      <c r="O1" s="3"/>
      <c r="P1" s="3"/>
      <c r="Q1" s="3"/>
      <c r="R1" s="3"/>
      <c r="S1" s="3"/>
      <c r="T1" s="3"/>
      <c r="U1" s="3"/>
      <c r="V1" s="3"/>
      <c r="W1" s="3"/>
      <c r="X1" s="3"/>
      <c r="Y1" s="3"/>
      <c r="Z1" s="3"/>
    </row>
    <row r="2">
      <c r="A2" s="3"/>
      <c r="B2" s="4" t="s">
        <v>96</v>
      </c>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3"/>
      <c r="B4" s="40" t="s">
        <v>97</v>
      </c>
      <c r="C4" s="40" t="s">
        <v>98</v>
      </c>
      <c r="D4" s="3"/>
      <c r="E4" s="3"/>
      <c r="F4" s="3"/>
      <c r="G4" s="3"/>
      <c r="H4" s="3"/>
      <c r="I4" s="3"/>
      <c r="J4" s="3"/>
      <c r="K4" s="3"/>
      <c r="L4" s="3"/>
      <c r="M4" s="3"/>
      <c r="N4" s="3"/>
      <c r="O4" s="3"/>
      <c r="P4" s="3"/>
      <c r="Q4" s="3"/>
      <c r="R4" s="3"/>
      <c r="S4" s="3"/>
      <c r="T4" s="3"/>
      <c r="U4" s="3"/>
      <c r="V4" s="3"/>
      <c r="W4" s="3"/>
      <c r="X4" s="3"/>
      <c r="Y4" s="3"/>
      <c r="Z4" s="3"/>
    </row>
    <row r="5">
      <c r="A5" s="3"/>
      <c r="B5" s="41" t="s">
        <v>1</v>
      </c>
      <c r="C5" s="41" t="s">
        <v>99</v>
      </c>
      <c r="D5" s="3"/>
      <c r="E5" s="3"/>
      <c r="F5" s="3"/>
      <c r="G5" s="3"/>
      <c r="H5" s="3"/>
      <c r="I5" s="3"/>
      <c r="J5" s="3"/>
      <c r="K5" s="3"/>
      <c r="L5" s="3"/>
      <c r="M5" s="3"/>
      <c r="N5" s="3"/>
      <c r="O5" s="3"/>
      <c r="P5" s="3"/>
      <c r="Q5" s="3"/>
      <c r="R5" s="3"/>
      <c r="S5" s="3"/>
      <c r="T5" s="3"/>
      <c r="U5" s="3"/>
      <c r="V5" s="3"/>
      <c r="W5" s="3"/>
      <c r="X5" s="3"/>
      <c r="Y5" s="3"/>
      <c r="Z5" s="3"/>
    </row>
    <row r="6">
      <c r="A6" s="3"/>
      <c r="B6" s="41" t="s">
        <v>2</v>
      </c>
      <c r="C6" s="41" t="s">
        <v>100</v>
      </c>
      <c r="D6" s="3"/>
      <c r="E6" s="3"/>
      <c r="F6" s="3"/>
      <c r="G6" s="3"/>
      <c r="H6" s="3"/>
      <c r="I6" s="3"/>
      <c r="J6" s="3"/>
      <c r="K6" s="3"/>
      <c r="L6" s="3"/>
      <c r="M6" s="3"/>
      <c r="N6" s="3"/>
      <c r="O6" s="3"/>
      <c r="P6" s="3"/>
      <c r="Q6" s="3"/>
      <c r="R6" s="3"/>
      <c r="S6" s="3"/>
      <c r="T6" s="3"/>
      <c r="U6" s="3"/>
      <c r="V6" s="3"/>
      <c r="W6" s="3"/>
      <c r="X6" s="3"/>
      <c r="Y6" s="3"/>
      <c r="Z6" s="3"/>
    </row>
    <row r="7">
      <c r="A7" s="3"/>
      <c r="B7" s="41" t="s">
        <v>3</v>
      </c>
      <c r="C7" s="41" t="s">
        <v>101</v>
      </c>
      <c r="D7" s="3"/>
      <c r="E7" s="3"/>
      <c r="F7" s="3"/>
      <c r="G7" s="3"/>
      <c r="H7" s="3"/>
      <c r="I7" s="3"/>
      <c r="J7" s="3"/>
      <c r="K7" s="3"/>
      <c r="L7" s="3"/>
      <c r="M7" s="3"/>
      <c r="N7" s="3"/>
      <c r="O7" s="3"/>
      <c r="P7" s="3"/>
      <c r="Q7" s="3"/>
      <c r="R7" s="3"/>
      <c r="S7" s="3"/>
      <c r="T7" s="3"/>
      <c r="U7" s="3"/>
      <c r="V7" s="3"/>
      <c r="W7" s="3"/>
      <c r="X7" s="3"/>
      <c r="Y7" s="3"/>
      <c r="Z7" s="3"/>
    </row>
    <row r="8">
      <c r="A8" s="3"/>
      <c r="B8" s="41" t="s">
        <v>4</v>
      </c>
      <c r="C8" s="41" t="s">
        <v>102</v>
      </c>
      <c r="D8" s="3"/>
      <c r="E8" s="3"/>
      <c r="F8" s="3"/>
      <c r="G8" s="3"/>
      <c r="H8" s="3"/>
      <c r="I8" s="3"/>
      <c r="J8" s="3"/>
      <c r="K8" s="3"/>
      <c r="L8" s="3"/>
      <c r="M8" s="3"/>
      <c r="N8" s="3"/>
      <c r="O8" s="3"/>
      <c r="P8" s="3"/>
      <c r="Q8" s="3"/>
      <c r="R8" s="3"/>
      <c r="S8" s="3"/>
      <c r="T8" s="3"/>
      <c r="U8" s="3"/>
      <c r="V8" s="3"/>
      <c r="W8" s="3"/>
      <c r="X8" s="3"/>
      <c r="Y8" s="3"/>
      <c r="Z8" s="3"/>
    </row>
    <row r="9" ht="50.25" customHeight="1">
      <c r="A9" s="3"/>
      <c r="B9" s="41" t="s">
        <v>103</v>
      </c>
      <c r="C9" s="41" t="s">
        <v>104</v>
      </c>
      <c r="D9" s="3"/>
      <c r="E9" s="3"/>
      <c r="F9" s="3"/>
      <c r="G9" s="3"/>
      <c r="H9" s="3"/>
      <c r="I9" s="3"/>
      <c r="J9" s="3"/>
      <c r="K9" s="3"/>
      <c r="L9" s="3"/>
      <c r="M9" s="3"/>
      <c r="N9" s="3"/>
      <c r="O9" s="3"/>
      <c r="P9" s="3"/>
      <c r="Q9" s="3"/>
      <c r="R9" s="3"/>
      <c r="S9" s="3"/>
      <c r="T9" s="3"/>
      <c r="U9" s="3"/>
      <c r="V9" s="3"/>
      <c r="W9" s="3"/>
      <c r="X9" s="3"/>
      <c r="Y9" s="3"/>
      <c r="Z9" s="3"/>
    </row>
    <row r="10">
      <c r="A10" s="3"/>
      <c r="B10" s="41" t="s">
        <v>6</v>
      </c>
      <c r="C10" s="41" t="s">
        <v>105</v>
      </c>
      <c r="D10" s="3"/>
      <c r="E10" s="3"/>
      <c r="F10" s="3"/>
      <c r="G10" s="3"/>
      <c r="H10" s="3"/>
      <c r="I10" s="3"/>
      <c r="J10" s="3"/>
      <c r="K10" s="3"/>
      <c r="L10" s="3"/>
      <c r="M10" s="3"/>
      <c r="N10" s="3"/>
      <c r="O10" s="3"/>
      <c r="P10" s="3"/>
      <c r="Q10" s="3"/>
      <c r="R10" s="3"/>
      <c r="S10" s="3"/>
      <c r="T10" s="3"/>
      <c r="U10" s="3"/>
      <c r="V10" s="3"/>
      <c r="W10" s="3"/>
      <c r="X10" s="3"/>
      <c r="Y10" s="3"/>
      <c r="Z10" s="3"/>
    </row>
    <row r="11">
      <c r="A11" s="3"/>
      <c r="B11" s="41" t="s">
        <v>7</v>
      </c>
      <c r="C11" s="41" t="s">
        <v>106</v>
      </c>
      <c r="D11" s="3"/>
      <c r="E11" s="3"/>
      <c r="F11" s="3"/>
      <c r="G11" s="3"/>
      <c r="H11" s="3"/>
      <c r="I11" s="3"/>
      <c r="J11" s="3"/>
      <c r="K11" s="3"/>
      <c r="L11" s="3"/>
      <c r="M11" s="3"/>
      <c r="N11" s="3"/>
      <c r="O11" s="3"/>
      <c r="P11" s="3"/>
      <c r="Q11" s="3"/>
      <c r="R11" s="3"/>
      <c r="S11" s="3"/>
      <c r="T11" s="3"/>
      <c r="U11" s="3"/>
      <c r="V11" s="3"/>
      <c r="W11" s="3"/>
      <c r="X11" s="3"/>
      <c r="Y11" s="3"/>
      <c r="Z11" s="3"/>
    </row>
    <row r="12">
      <c r="A12" s="3"/>
      <c r="B12" s="41" t="s">
        <v>8</v>
      </c>
      <c r="C12" s="41" t="s">
        <v>107</v>
      </c>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