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Planning" sheetId="1" r:id="rId4"/>
    <sheet state="visible" name="Burndown Chart" sheetId="2" r:id="rId5"/>
  </sheets>
  <definedNames/>
  <calcPr/>
</workbook>
</file>

<file path=xl/sharedStrings.xml><?xml version="1.0" encoding="utf-8"?>
<sst xmlns="http://schemas.openxmlformats.org/spreadsheetml/2006/main" count="265" uniqueCount="151">
  <si>
    <t>PLANIFICACIÓN DE SPRINTS</t>
  </si>
  <si>
    <t>Nro°</t>
  </si>
  <si>
    <t xml:space="preserve">Tarea </t>
  </si>
  <si>
    <t>Tareas</t>
  </si>
  <si>
    <t>Responsable</t>
  </si>
  <si>
    <t>Fecha de inicio</t>
  </si>
  <si>
    <t>Fecha de termino</t>
  </si>
  <si>
    <t>Duración</t>
  </si>
  <si>
    <t>Estado de la tarea</t>
  </si>
  <si>
    <t>Comentarios</t>
  </si>
  <si>
    <t xml:space="preserve">Fase de planificacion </t>
  </si>
  <si>
    <t xml:space="preserve">Metodo de planificación </t>
  </si>
  <si>
    <t>Creacion de Trello para seguimiento del proyecto</t>
  </si>
  <si>
    <t>Eduardo Velásquez</t>
  </si>
  <si>
    <t>Finalizada</t>
  </si>
  <si>
    <t>Se creo el tablero, repositorio en github</t>
  </si>
  <si>
    <t>Definición de Roles</t>
  </si>
  <si>
    <t>Organización del grupo y deficion de roles</t>
  </si>
  <si>
    <t>Equipo Completo</t>
  </si>
  <si>
    <t>Se organizaron los roles y quedaron reflejados en la documentación correspondiente, subida en trello y GitHub</t>
  </si>
  <si>
    <t>Reunion con el Cliente</t>
  </si>
  <si>
    <t>Reunion con el cliente para hablar sobre la idea del proyecto y si acepta</t>
  </si>
  <si>
    <t>Nos reunimos con el cliente nos comento respecto a las necesidades y en base a eso tomamos una decisión</t>
  </si>
  <si>
    <t>Analisis y vision del proyecto</t>
  </si>
  <si>
    <t>Analizar los alcanzables del proyecto</t>
  </si>
  <si>
    <t>Definimos la vision del proyecto y nos organizamos con el cliente</t>
  </si>
  <si>
    <t>Creacion de Epicas e historias de usuarios</t>
  </si>
  <si>
    <t>en base a lo comentado  con el cliente respecto a las necesidades para la creación de historias de usuarios ademas de una charla con Eduardo Velásquez quien tiene conocimiento de las reglas de negocio</t>
  </si>
  <si>
    <t>Marco Oviedo, Eduardo Velásquez</t>
  </si>
  <si>
    <t>Con lo comentado por parte del Cliente nos dispusimos a identificar y crear las epicas e historias de usuarios correspondientes al caso</t>
  </si>
  <si>
    <t>Toma de Requerimientos</t>
  </si>
  <si>
    <t>Tomar los requisitos funcionales y no funcionales del proyecto</t>
  </si>
  <si>
    <t>Felipe Alvarado</t>
  </si>
  <si>
    <t>En base a la creacion de historias de usuarios, fuimos recolecatando la información para la toma de requerimientos del proyecto</t>
  </si>
  <si>
    <t>Product Backlog</t>
  </si>
  <si>
    <t>Organizar las historias de usuarios en un Product backlog para ver las funcionalidades</t>
  </si>
  <si>
    <t>Nos reunimos para desarrollar el Sprint y el Product Backlog</t>
  </si>
  <si>
    <t>Sprint Backlog</t>
  </si>
  <si>
    <t>Organizar las tareas en un cronograma evolutivo para realizar las tareas en base al product backlog</t>
  </si>
  <si>
    <t>Marco Oviedo</t>
  </si>
  <si>
    <t>Validacion de requerimientos</t>
  </si>
  <si>
    <t>Validar los requerimientos de las historias de usuarios.</t>
  </si>
  <si>
    <t>Validamos los requerimientos tanto funcionales como no funcionales de la toma de requerimientos para verificar si estaban bien</t>
  </si>
  <si>
    <t>Sprint 1: Fase de Diseño</t>
  </si>
  <si>
    <t>Decision de Arquitectura</t>
  </si>
  <si>
    <t>Desicion de la arquitectura en la cual se desarrollara el proyecto</t>
  </si>
  <si>
    <t>Se decidio la Arquitectura del proyecto y fue subida al trello para mayor información</t>
  </si>
  <si>
    <t>Modelos de vistas 4+1</t>
  </si>
  <si>
    <t>Diagrama de Paquetes</t>
  </si>
  <si>
    <t>Diagrama realizado y verificado</t>
  </si>
  <si>
    <t>Diagrama de flujo</t>
  </si>
  <si>
    <t>Diagrama de Componentes</t>
  </si>
  <si>
    <t>Diagrama de Clases</t>
  </si>
  <si>
    <t>Diagrama de Despliegue</t>
  </si>
  <si>
    <t>Diagrama de casos de uso</t>
  </si>
  <si>
    <t>Planificacion y creacion de mockups</t>
  </si>
  <si>
    <t>Se desarrollo un Mockup del sistema para presentar en la reunion del cliente</t>
  </si>
  <si>
    <t>En base a lo que pidio el cliente, reflejamos en un mockup sencillo las primeras ideas de lo que es el sistema</t>
  </si>
  <si>
    <t>Planificacion de la Base de datos</t>
  </si>
  <si>
    <t>Se planifico y diseño el modelo de base de datos</t>
  </si>
  <si>
    <t xml:space="preserve">luego de analizar y y entender los proceso de negocios nos dimos la tarea de diseñar la base de datos para que quede estructurada con la logica que existe en el negocio </t>
  </si>
  <si>
    <t>RoadMap del proyecto</t>
  </si>
  <si>
    <t>Se diseño el RoadMap del proyecto</t>
  </si>
  <si>
    <t>En base a los hitos desarrollados se creo el roadmap del proyecto</t>
  </si>
  <si>
    <t>Diseño de vistas de usuario</t>
  </si>
  <si>
    <t>Diseño Interfaz Login</t>
  </si>
  <si>
    <t>Se desarrollan las vistas según las recomendaciones del cliente, al no ser criticos los cambios se basaran en las vistas del mockup</t>
  </si>
  <si>
    <t>Diseño Interfaz Inventario Principal</t>
  </si>
  <si>
    <t>Diseño Interfaz Caseta</t>
  </si>
  <si>
    <t>Diseño interfaz Aplicacion de Producto</t>
  </si>
  <si>
    <t>Sprint 2: Fase de Desarrollo</t>
  </si>
  <si>
    <t>Desarrollo BD</t>
  </si>
  <si>
    <t xml:space="preserve">Diseñar, integrar y asegurar la BD </t>
  </si>
  <si>
    <t>Se desarrolla la Base de datos, se integra en PostgreSQL, script guardado como backup, se utilizo en gran mayoria parte del diseño y planificacion de la BD de la fase de desarrollo.</t>
  </si>
  <si>
    <t>Desarrollo Módulo Sesiones del Usuario</t>
  </si>
  <si>
    <t>Desarrollar Login</t>
  </si>
  <si>
    <t>Se desarrollo el modulo Login sin problemas, se integra conjunto con la vista desarrolladas de forma inmediata</t>
  </si>
  <si>
    <t>Desarrollar Roles de Usuario</t>
  </si>
  <si>
    <t>Se desarrollo un middleware que no permite el acceso a ciertas paginas, tanto si no estan logeados como si no tienen los permisos suficientes para realizar acciones de administrador(403 forbidden)</t>
  </si>
  <si>
    <t>Desarrollar Registro de Usuario</t>
  </si>
  <si>
    <t>Se realiza el modulo de registro de usuario de manera completa</t>
  </si>
  <si>
    <t>Desarrollo Módulo CRUD Inventario Principal</t>
  </si>
  <si>
    <t>Agregar Producto al Inventario</t>
  </si>
  <si>
    <t>Se realiza el modulo de CRUD de usuario de manera parcial, hay que completar junto con la vista para integrar finalmente</t>
  </si>
  <si>
    <t>Editar Producto del Inventario</t>
  </si>
  <si>
    <t>Eliminar Producto del Inventario</t>
  </si>
  <si>
    <t>Listar Producto del Inventario</t>
  </si>
  <si>
    <t xml:space="preserve">Desarrollo Módulo de Casetas </t>
  </si>
  <si>
    <t>Crear Caseta</t>
  </si>
  <si>
    <t>Se desarrollo el modulo caseta con las funcionalidades especificadas en el Product Backlog</t>
  </si>
  <si>
    <t>Listar Caseta</t>
  </si>
  <si>
    <t>Editar Caseta</t>
  </si>
  <si>
    <t>Eliminar Caseta</t>
  </si>
  <si>
    <t>Asignar Producto a Caseta</t>
  </si>
  <si>
    <t>Eliminar Producto en Caseta</t>
  </si>
  <si>
    <t>Eduardo Velásquez, Marco Oviedo</t>
  </si>
  <si>
    <t>Listar Producto en Caseta</t>
  </si>
  <si>
    <t>Registrar Uso de Aplicación de Producto</t>
  </si>
  <si>
    <t>Desarrollo Módulo de Alertas</t>
  </si>
  <si>
    <t>Desarrollo Alertas Stock Bajo</t>
  </si>
  <si>
    <t>Se desarrollo el modulo de alertas con las funcionalidades y especificaciones requeridas</t>
  </si>
  <si>
    <t>Desarrollo Alertas Stock Próximo a Expirar</t>
  </si>
  <si>
    <t>Desarrollo Alertas dentro del Sistema</t>
  </si>
  <si>
    <t>Desarrollo Módulo de Reportes</t>
  </si>
  <si>
    <t>Desarrollo Generación Reportes</t>
  </si>
  <si>
    <t>Felipe Alvarado, Marco Oviedo</t>
  </si>
  <si>
    <t>Se desarrollo la generación de reportes segun los criterios solicitados por el cliente, en diferentes formatos, de manera que puedan ser vistos en PDF y formatos xlsx y cs</t>
  </si>
  <si>
    <t>Desarrollo Generación Reportes Mensuales</t>
  </si>
  <si>
    <t>Se desarrollo la funcionalidad de que los documentos sean enviados durante el ultimo dia habil del mes a los administradores como resumen mensual.</t>
  </si>
  <si>
    <t>Desarrollo Panel de Control</t>
  </si>
  <si>
    <t xml:space="preserve">Desarrollar Panel Dashboard </t>
  </si>
  <si>
    <t>El Panel se desarrollo correctamente</t>
  </si>
  <si>
    <t>Implementar Resumen de Métricas</t>
  </si>
  <si>
    <t>Las metricas se desarrollaron correctamente</t>
  </si>
  <si>
    <t>Integración Módulos</t>
  </si>
  <si>
    <t>Integrar Módulos en GitHub</t>
  </si>
  <si>
    <t>Se integran los modulos desarrollados de forma paulatina para ir ensamblando la aplicación web</t>
  </si>
  <si>
    <t>Sprint 3</t>
  </si>
  <si>
    <t>Integración Ajuste Modulo Aplicación</t>
  </si>
  <si>
    <t>Integrar los cambios solicitados por Santiago en el modulo de aplicación</t>
  </si>
  <si>
    <t>Durante la planificación se determinó que esta tarea tiene como objetivo incorporar los ajustes solicitados por el cliente Santiago en el módulo de aplicación,en el registro Aplicaciones y casetas</t>
  </si>
  <si>
    <t>Integración Ajuste de Jerarquia</t>
  </si>
  <si>
    <t>Integrar los cambios solicitados por Santiago en el modulo de Login</t>
  </si>
  <si>
    <t>Durante la planificación se determinó que esta tarea tiene como objetivo incorporar los ajustes solicitados por el cliente Santiago en el módulo de Login,en la gestión de permisos según usuarios</t>
  </si>
  <si>
    <t>Desarrollo de plan de pruebas</t>
  </si>
  <si>
    <t>Desarrollo del documento de pruebas</t>
  </si>
  <si>
    <t>Se completo antes de tiempo dejando margen para el desarrollo de los modulos ajustados, del dia 6/11 a 8/11 dejando tiempo para una mejor integración en el main</t>
  </si>
  <si>
    <t>Pruebas Integrales del Sistema</t>
  </si>
  <si>
    <t xml:space="preserve">Desarrollo de Pruebas referenciado en el plan de pruebas de GitHub→wiki→Plan de pruebas </t>
  </si>
  <si>
    <t>Felipe Alvarado, Eduardo Velásquez</t>
  </si>
  <si>
    <t>Se realizaron las pruebas pertintentes y se documento en trello los resultados obtenidos</t>
  </si>
  <si>
    <t>Corrección de errores y ajustes segun test</t>
  </si>
  <si>
    <t>Corrección de los bugs encontrados de manera intensiva</t>
  </si>
  <si>
    <t>Se corrigieron ciertos errores minimos (faltas de ortografia, espaciados mal hechos, fuentes equivocadas)</t>
  </si>
  <si>
    <t>Revisión del sistema completo</t>
  </si>
  <si>
    <t>Revisión post-corrección o analisis del sistema finalizado</t>
  </si>
  <si>
    <t>Se genero un repaso del proyecto en busca de detalles que pudieron haberse omitido</t>
  </si>
  <si>
    <t>Despliegue</t>
  </si>
  <si>
    <t>Documentación final del proyecto</t>
  </si>
  <si>
    <t>Documentación para el cliente, y manual de uso</t>
  </si>
  <si>
    <t xml:space="preserve">Se genero la documetnación sobre la guia de manual de usuario para ser entregada al cliente </t>
  </si>
  <si>
    <t>Revisión final del proyecto</t>
  </si>
  <si>
    <t>Ultimo repaso en busqueda de detalles menores para la entrega</t>
  </si>
  <si>
    <t>En curso</t>
  </si>
  <si>
    <t>Despliegue de la Aplicación</t>
  </si>
  <si>
    <t>Subir el proyecto con el proveedor de serivicios</t>
  </si>
  <si>
    <t>Pendiente</t>
  </si>
  <si>
    <t>Marcha Blanca</t>
  </si>
  <si>
    <t>Realizar una marcha blanca en Quilhuica</t>
  </si>
  <si>
    <t>Entrega final del proyecto</t>
  </si>
  <si>
    <t>Entrega toda documentación necesaria para el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</si>
</sst>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/m/yyyy"/>
  </numFmts>
  <fonts count="12">
    <font>
      <sz val="10.0"/>
      <color rgb="FF000000"/>
      <name val="Arial"/>
      <scheme val="minor"/>
    </font>
    <font>
      <b/>
      <sz val="24.0"/>
      <color rgb="FF595959"/>
      <name val="Century Gothic"/>
    </font>
    <font>
      <b/>
      <sz val="12.0"/>
      <color rgb="FFEFEFEF"/>
      <name val="Century Gothic"/>
    </font>
    <font>
      <b/>
      <sz val="12.0"/>
      <color theme="1"/>
      <name val="Century Gothic"/>
    </font>
    <font/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theme="1"/>
      <name val="Century Gothic"/>
    </font>
    <font>
      <sz val="11.0"/>
      <color theme="1"/>
      <name val="Century Gothic"/>
    </font>
    <font>
      <sz val="12.0"/>
      <color theme="1"/>
      <name val="Calibri"/>
    </font>
    <font>
      <sz val="12.0"/>
      <color theme="1"/>
      <name val="Century Gothic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9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3" fontId="2" numFmtId="0" xfId="0" applyAlignment="1" applyBorder="1" applyFill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2" fillId="5" fontId="5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2" fillId="0" fontId="5" numFmtId="164" xfId="0" applyAlignment="1" applyBorder="1" applyFont="1" applyNumberFormat="1">
      <alignment horizontal="center" shrinkToFit="0" vertical="center" wrapText="1"/>
    </xf>
    <xf borderId="2" fillId="5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8" fillId="0" fontId="4" numFmtId="0" xfId="0" applyBorder="1" applyFont="1"/>
    <xf borderId="6" fillId="5" fontId="5" numFmtId="0" xfId="0" applyAlignment="1" applyBorder="1" applyFon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center" shrinkToFit="0" vertical="center" wrapText="1"/>
    </xf>
    <xf borderId="6" fillId="5" fontId="5" numFmtId="0" xfId="0" applyAlignment="1" applyBorder="1" applyFont="1">
      <alignment horizontal="center" readingOrder="0" shrinkToFit="0" vertical="center" wrapText="1"/>
    </xf>
    <xf borderId="6" fillId="0" fontId="7" numFmtId="164" xfId="0" applyAlignment="1" applyBorder="1" applyFont="1" applyNumberFormat="1">
      <alignment horizontal="center" readingOrder="0" shrinkToFit="0" vertical="center" wrapText="1"/>
    </xf>
    <xf borderId="2" fillId="0" fontId="7" numFmtId="165" xfId="0" applyAlignment="1" applyBorder="1" applyFont="1" applyNumberFormat="1">
      <alignment horizontal="center" readingOrder="0" vertical="center"/>
    </xf>
    <xf borderId="2" fillId="0" fontId="7" numFmtId="165" xfId="0" applyAlignment="1" applyBorder="1" applyFont="1" applyNumberFormat="1">
      <alignment horizontal="center" readingOrder="0" vertical="bottom"/>
    </xf>
    <xf borderId="2" fillId="0" fontId="7" numFmtId="164" xfId="0" applyAlignment="1" applyBorder="1" applyFont="1" applyNumberFormat="1">
      <alignment horizontal="center" readingOrder="0" vertical="bottom"/>
    </xf>
    <xf borderId="3" fillId="4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shrinkToFit="0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Font="1"/>
    <xf borderId="0" fillId="0" fontId="10" numFmtId="0" xfId="0" applyAlignment="1" applyFont="1">
      <alignment vertical="top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9" numFmtId="0" xfId="0" applyAlignment="1" applyFont="1">
      <alignment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10" numFmtId="1" xfId="0" applyFont="1" applyNumberFormat="1"/>
    <xf borderId="0" fillId="0" fontId="10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39400" cy="7343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3" width="27.5"/>
    <col customWidth="1" min="4" max="4" width="23.0"/>
    <col customWidth="1" min="5" max="5" width="13.38"/>
    <col customWidth="1" min="6" max="6" width="13.5"/>
    <col customWidth="1" min="7" max="7" width="13.25"/>
    <col customWidth="1" min="8" max="8" width="23.5"/>
    <col customWidth="1" min="9" max="9" width="41.75"/>
  </cols>
  <sheetData>
    <row r="1">
      <c r="A1" s="1" t="s">
        <v>0</v>
      </c>
    </row>
    <row r="4" ht="36.0" customHeight="1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2" t="s">
        <v>7</v>
      </c>
      <c r="H4" s="2" t="s">
        <v>8</v>
      </c>
      <c r="I4" s="2" t="s">
        <v>9</v>
      </c>
    </row>
    <row r="5" ht="22.5" customHeight="1">
      <c r="A5" s="4" t="s">
        <v>10</v>
      </c>
      <c r="B5" s="5"/>
      <c r="C5" s="5"/>
      <c r="D5" s="5"/>
      <c r="E5" s="5"/>
      <c r="F5" s="5"/>
      <c r="G5" s="5"/>
      <c r="H5" s="5"/>
      <c r="I5" s="6"/>
    </row>
    <row r="6">
      <c r="A6" s="7">
        <v>1.0</v>
      </c>
      <c r="B6" s="8" t="s">
        <v>11</v>
      </c>
      <c r="C6" s="8" t="s">
        <v>12</v>
      </c>
      <c r="D6" s="8" t="s">
        <v>13</v>
      </c>
      <c r="E6" s="9">
        <v>45884.0</v>
      </c>
      <c r="F6" s="9">
        <v>45884.0</v>
      </c>
      <c r="G6" s="8">
        <f>IF(DATEDIF(E6,F6,"d")=0,1,DATEDIF(E6,F6,"d"))
</f>
        <v>1</v>
      </c>
      <c r="H6" s="8" t="s">
        <v>14</v>
      </c>
      <c r="I6" s="8" t="s">
        <v>15</v>
      </c>
    </row>
    <row r="7">
      <c r="A7" s="7">
        <v>2.0</v>
      </c>
      <c r="B7" s="10" t="s">
        <v>16</v>
      </c>
      <c r="C7" s="8" t="s">
        <v>17</v>
      </c>
      <c r="D7" s="8" t="s">
        <v>18</v>
      </c>
      <c r="E7" s="11">
        <v>45890.0</v>
      </c>
      <c r="F7" s="11">
        <v>45891.0</v>
      </c>
      <c r="G7" s="8">
        <f t="shared" ref="G7:G14" si="1">IF(DATEDIF(E7,F7,"d")=0,1,DATEDIF(E7,F7,"d")+1)
</f>
        <v>2</v>
      </c>
      <c r="H7" s="8" t="s">
        <v>14</v>
      </c>
      <c r="I7" s="8" t="s">
        <v>19</v>
      </c>
    </row>
    <row r="8">
      <c r="A8" s="7">
        <v>3.0</v>
      </c>
      <c r="B8" s="8" t="s">
        <v>20</v>
      </c>
      <c r="C8" s="8" t="s">
        <v>21</v>
      </c>
      <c r="D8" s="8" t="s">
        <v>18</v>
      </c>
      <c r="E8" s="11">
        <v>45894.0</v>
      </c>
      <c r="F8" s="11">
        <v>45894.0</v>
      </c>
      <c r="G8" s="8">
        <f t="shared" si="1"/>
        <v>1</v>
      </c>
      <c r="H8" s="8" t="s">
        <v>14</v>
      </c>
      <c r="I8" s="8" t="s">
        <v>22</v>
      </c>
    </row>
    <row r="9">
      <c r="A9" s="7">
        <v>4.0</v>
      </c>
      <c r="B9" s="8" t="s">
        <v>23</v>
      </c>
      <c r="C9" s="8" t="s">
        <v>24</v>
      </c>
      <c r="D9" s="8" t="s">
        <v>18</v>
      </c>
      <c r="E9" s="11">
        <v>45894.0</v>
      </c>
      <c r="F9" s="11">
        <v>45894.0</v>
      </c>
      <c r="G9" s="8">
        <f t="shared" si="1"/>
        <v>1</v>
      </c>
      <c r="H9" s="8" t="s">
        <v>14</v>
      </c>
      <c r="I9" s="8" t="s">
        <v>25</v>
      </c>
    </row>
    <row r="10">
      <c r="A10" s="7">
        <v>5.0</v>
      </c>
      <c r="B10" s="8" t="s">
        <v>26</v>
      </c>
      <c r="C10" s="8" t="s">
        <v>27</v>
      </c>
      <c r="D10" s="8" t="s">
        <v>28</v>
      </c>
      <c r="E10" s="11">
        <v>45894.0</v>
      </c>
      <c r="F10" s="11">
        <v>45895.0</v>
      </c>
      <c r="G10" s="8">
        <f t="shared" si="1"/>
        <v>2</v>
      </c>
      <c r="H10" s="8" t="s">
        <v>14</v>
      </c>
      <c r="I10" s="8" t="s">
        <v>29</v>
      </c>
    </row>
    <row r="11">
      <c r="A11" s="7">
        <v>6.0</v>
      </c>
      <c r="B11" s="8" t="s">
        <v>30</v>
      </c>
      <c r="C11" s="8" t="s">
        <v>31</v>
      </c>
      <c r="D11" s="8" t="s">
        <v>32</v>
      </c>
      <c r="E11" s="11">
        <v>45895.0</v>
      </c>
      <c r="F11" s="11">
        <v>45895.0</v>
      </c>
      <c r="G11" s="8">
        <f t="shared" si="1"/>
        <v>1</v>
      </c>
      <c r="H11" s="8" t="s">
        <v>14</v>
      </c>
      <c r="I11" s="8" t="s">
        <v>33</v>
      </c>
    </row>
    <row r="12">
      <c r="A12" s="7">
        <v>7.0</v>
      </c>
      <c r="B12" s="10" t="s">
        <v>34</v>
      </c>
      <c r="C12" s="8" t="s">
        <v>35</v>
      </c>
      <c r="D12" s="8" t="s">
        <v>32</v>
      </c>
      <c r="E12" s="11">
        <v>45895.0</v>
      </c>
      <c r="F12" s="11">
        <v>45895.0</v>
      </c>
      <c r="G12" s="8">
        <f t="shared" si="1"/>
        <v>1</v>
      </c>
      <c r="H12" s="8" t="s">
        <v>14</v>
      </c>
      <c r="I12" s="8" t="s">
        <v>36</v>
      </c>
    </row>
    <row r="13">
      <c r="A13" s="7">
        <v>8.0</v>
      </c>
      <c r="B13" s="8" t="s">
        <v>37</v>
      </c>
      <c r="C13" s="8" t="s">
        <v>38</v>
      </c>
      <c r="D13" s="8" t="s">
        <v>39</v>
      </c>
      <c r="E13" s="11">
        <v>45895.0</v>
      </c>
      <c r="F13" s="11">
        <v>45895.0</v>
      </c>
      <c r="G13" s="8">
        <f t="shared" si="1"/>
        <v>1</v>
      </c>
      <c r="H13" s="8" t="s">
        <v>14</v>
      </c>
      <c r="I13" s="8" t="s">
        <v>36</v>
      </c>
    </row>
    <row r="14">
      <c r="A14" s="7">
        <v>9.0</v>
      </c>
      <c r="B14" s="8" t="s">
        <v>40</v>
      </c>
      <c r="C14" s="8" t="s">
        <v>41</v>
      </c>
      <c r="D14" s="8" t="s">
        <v>18</v>
      </c>
      <c r="E14" s="11">
        <v>45896.0</v>
      </c>
      <c r="F14" s="11">
        <v>45896.0</v>
      </c>
      <c r="G14" s="8">
        <f t="shared" si="1"/>
        <v>1</v>
      </c>
      <c r="H14" s="8" t="s">
        <v>14</v>
      </c>
      <c r="I14" s="8" t="s">
        <v>42</v>
      </c>
    </row>
    <row r="15">
      <c r="A15" s="4" t="s">
        <v>43</v>
      </c>
      <c r="B15" s="5"/>
      <c r="C15" s="5"/>
      <c r="D15" s="5"/>
      <c r="E15" s="5"/>
      <c r="F15" s="5"/>
      <c r="G15" s="5"/>
      <c r="H15" s="5"/>
      <c r="I15" s="6"/>
    </row>
    <row r="16">
      <c r="A16" s="12">
        <v>10.0</v>
      </c>
      <c r="B16" s="13" t="s">
        <v>44</v>
      </c>
      <c r="C16" s="8" t="s">
        <v>45</v>
      </c>
      <c r="D16" s="8" t="s">
        <v>13</v>
      </c>
      <c r="E16" s="11">
        <v>45897.0</v>
      </c>
      <c r="F16" s="11">
        <v>45898.0</v>
      </c>
      <c r="G16" s="8">
        <f t="shared" ref="G16:G29" si="2">IF(DATEDIF(E16,F16,"d")=0,1,DATEDIF(E16,F16,"d")+1)
</f>
        <v>2</v>
      </c>
      <c r="H16" s="8" t="s">
        <v>14</v>
      </c>
      <c r="I16" s="13" t="s">
        <v>46</v>
      </c>
    </row>
    <row r="17">
      <c r="A17" s="14">
        <v>11.0</v>
      </c>
      <c r="B17" s="15" t="s">
        <v>47</v>
      </c>
      <c r="C17" s="8" t="s">
        <v>48</v>
      </c>
      <c r="D17" s="8" t="s">
        <v>32</v>
      </c>
      <c r="E17" s="11">
        <v>45897.0</v>
      </c>
      <c r="F17" s="9">
        <v>45897.0</v>
      </c>
      <c r="G17" s="8">
        <f t="shared" si="2"/>
        <v>1</v>
      </c>
      <c r="H17" s="8" t="s">
        <v>14</v>
      </c>
      <c r="I17" s="8" t="s">
        <v>49</v>
      </c>
    </row>
    <row r="18">
      <c r="A18" s="16"/>
      <c r="B18" s="16"/>
      <c r="C18" s="8" t="s">
        <v>50</v>
      </c>
      <c r="D18" s="8" t="s">
        <v>32</v>
      </c>
      <c r="E18" s="11">
        <v>45897.0</v>
      </c>
      <c r="F18" s="9">
        <v>45897.0</v>
      </c>
      <c r="G18" s="8">
        <f t="shared" si="2"/>
        <v>1</v>
      </c>
      <c r="H18" s="8" t="s">
        <v>14</v>
      </c>
      <c r="I18" s="8" t="s">
        <v>49</v>
      </c>
    </row>
    <row r="19">
      <c r="A19" s="16"/>
      <c r="B19" s="16"/>
      <c r="C19" s="8" t="s">
        <v>51</v>
      </c>
      <c r="D19" s="8" t="s">
        <v>39</v>
      </c>
      <c r="E19" s="11">
        <v>45897.0</v>
      </c>
      <c r="F19" s="9">
        <v>45897.0</v>
      </c>
      <c r="G19" s="8">
        <f t="shared" si="2"/>
        <v>1</v>
      </c>
      <c r="H19" s="8" t="s">
        <v>14</v>
      </c>
      <c r="I19" s="8" t="s">
        <v>49</v>
      </c>
    </row>
    <row r="20">
      <c r="A20" s="16"/>
      <c r="B20" s="16"/>
      <c r="C20" s="8" t="s">
        <v>52</v>
      </c>
      <c r="D20" s="8" t="s">
        <v>39</v>
      </c>
      <c r="E20" s="11">
        <v>45897.0</v>
      </c>
      <c r="F20" s="9">
        <v>45897.0</v>
      </c>
      <c r="G20" s="8">
        <f t="shared" si="2"/>
        <v>1</v>
      </c>
      <c r="H20" s="8" t="s">
        <v>14</v>
      </c>
      <c r="I20" s="8" t="s">
        <v>49</v>
      </c>
    </row>
    <row r="21">
      <c r="A21" s="16"/>
      <c r="B21" s="16"/>
      <c r="C21" s="8" t="s">
        <v>53</v>
      </c>
      <c r="D21" s="8" t="s">
        <v>39</v>
      </c>
      <c r="E21" s="11">
        <v>45897.0</v>
      </c>
      <c r="F21" s="9">
        <v>45897.0</v>
      </c>
      <c r="G21" s="8">
        <f t="shared" si="2"/>
        <v>1</v>
      </c>
      <c r="H21" s="8" t="s">
        <v>14</v>
      </c>
      <c r="I21" s="8" t="s">
        <v>49</v>
      </c>
    </row>
    <row r="22">
      <c r="A22" s="17"/>
      <c r="B22" s="17"/>
      <c r="C22" s="8" t="s">
        <v>54</v>
      </c>
      <c r="D22" s="8" t="s">
        <v>13</v>
      </c>
      <c r="E22" s="11">
        <v>45897.0</v>
      </c>
      <c r="F22" s="11">
        <v>45897.0</v>
      </c>
      <c r="G22" s="8">
        <f t="shared" si="2"/>
        <v>1</v>
      </c>
      <c r="H22" s="8" t="s">
        <v>14</v>
      </c>
      <c r="I22" s="8" t="s">
        <v>49</v>
      </c>
    </row>
    <row r="23">
      <c r="A23" s="12">
        <v>13.0</v>
      </c>
      <c r="B23" s="13" t="s">
        <v>55</v>
      </c>
      <c r="C23" s="8" t="s">
        <v>56</v>
      </c>
      <c r="D23" s="8" t="s">
        <v>18</v>
      </c>
      <c r="E23" s="11">
        <v>45899.0</v>
      </c>
      <c r="F23" s="11">
        <v>45901.0</v>
      </c>
      <c r="G23" s="8">
        <f t="shared" si="2"/>
        <v>3</v>
      </c>
      <c r="H23" s="8" t="s">
        <v>14</v>
      </c>
      <c r="I23" s="13" t="s">
        <v>57</v>
      </c>
    </row>
    <row r="24">
      <c r="A24" s="12">
        <v>14.0</v>
      </c>
      <c r="B24" s="13" t="s">
        <v>58</v>
      </c>
      <c r="C24" s="8" t="s">
        <v>59</v>
      </c>
      <c r="D24" s="8" t="s">
        <v>32</v>
      </c>
      <c r="E24" s="11">
        <v>45899.0</v>
      </c>
      <c r="F24" s="11">
        <v>45900.0</v>
      </c>
      <c r="G24" s="8">
        <f t="shared" si="2"/>
        <v>2</v>
      </c>
      <c r="H24" s="8" t="s">
        <v>14</v>
      </c>
      <c r="I24" s="13" t="s">
        <v>60</v>
      </c>
    </row>
    <row r="25">
      <c r="A25" s="12">
        <v>15.0</v>
      </c>
      <c r="B25" s="13" t="s">
        <v>61</v>
      </c>
      <c r="C25" s="8" t="s">
        <v>62</v>
      </c>
      <c r="D25" s="8" t="s">
        <v>39</v>
      </c>
      <c r="E25" s="9">
        <v>45903.0</v>
      </c>
      <c r="F25" s="9">
        <v>45904.0</v>
      </c>
      <c r="G25" s="8">
        <f t="shared" si="2"/>
        <v>2</v>
      </c>
      <c r="H25" s="8" t="s">
        <v>14</v>
      </c>
      <c r="I25" s="13" t="s">
        <v>63</v>
      </c>
    </row>
    <row r="26">
      <c r="A26" s="18">
        <v>16.0</v>
      </c>
      <c r="B26" s="15" t="s">
        <v>64</v>
      </c>
      <c r="C26" s="8" t="s">
        <v>65</v>
      </c>
      <c r="D26" s="8" t="s">
        <v>18</v>
      </c>
      <c r="E26" s="9">
        <v>46000.0</v>
      </c>
      <c r="F26" s="9">
        <v>46002.0</v>
      </c>
      <c r="G26" s="8">
        <f t="shared" si="2"/>
        <v>3</v>
      </c>
      <c r="H26" s="8" t="s">
        <v>14</v>
      </c>
      <c r="I26" s="15" t="s">
        <v>66</v>
      </c>
    </row>
    <row r="27">
      <c r="A27" s="16"/>
      <c r="B27" s="16"/>
      <c r="C27" s="8" t="s">
        <v>67</v>
      </c>
      <c r="D27" s="8" t="s">
        <v>18</v>
      </c>
      <c r="E27" s="9">
        <v>46000.0</v>
      </c>
      <c r="F27" s="9">
        <v>46002.0</v>
      </c>
      <c r="G27" s="8">
        <f t="shared" si="2"/>
        <v>3</v>
      </c>
      <c r="H27" s="8" t="s">
        <v>14</v>
      </c>
      <c r="I27" s="16"/>
    </row>
    <row r="28">
      <c r="A28" s="16"/>
      <c r="B28" s="16"/>
      <c r="C28" s="8" t="s">
        <v>68</v>
      </c>
      <c r="D28" s="8" t="s">
        <v>18</v>
      </c>
      <c r="E28" s="9">
        <v>46000.0</v>
      </c>
      <c r="F28" s="9">
        <v>46002.0</v>
      </c>
      <c r="G28" s="8">
        <f t="shared" si="2"/>
        <v>3</v>
      </c>
      <c r="H28" s="8" t="s">
        <v>14</v>
      </c>
      <c r="I28" s="16"/>
    </row>
    <row r="29">
      <c r="A29" s="17"/>
      <c r="B29" s="17"/>
      <c r="C29" s="8" t="s">
        <v>69</v>
      </c>
      <c r="D29" s="8" t="s">
        <v>18</v>
      </c>
      <c r="E29" s="9">
        <v>46001.0</v>
      </c>
      <c r="F29" s="9">
        <v>46003.0</v>
      </c>
      <c r="G29" s="8">
        <f t="shared" si="2"/>
        <v>3</v>
      </c>
      <c r="H29" s="8" t="s">
        <v>14</v>
      </c>
      <c r="I29" s="17"/>
    </row>
    <row r="30">
      <c r="A30" s="4" t="s">
        <v>70</v>
      </c>
      <c r="B30" s="5"/>
      <c r="C30" s="5"/>
      <c r="D30" s="5"/>
      <c r="E30" s="5"/>
      <c r="F30" s="5"/>
      <c r="G30" s="5"/>
      <c r="H30" s="5"/>
      <c r="I30" s="6"/>
    </row>
    <row r="31">
      <c r="A31" s="7">
        <v>17.0</v>
      </c>
      <c r="B31" s="8" t="s">
        <v>71</v>
      </c>
      <c r="C31" s="8" t="s">
        <v>72</v>
      </c>
      <c r="D31" s="8" t="s">
        <v>18</v>
      </c>
      <c r="E31" s="19">
        <v>45908.0</v>
      </c>
      <c r="F31" s="20">
        <v>45913.0</v>
      </c>
      <c r="G31" s="8">
        <f t="shared" ref="G31:G43" si="3">IF(DATEDIF(E31,F31,"d")=0,1,DATEDIF(E31,F31,"d"))
</f>
        <v>5</v>
      </c>
      <c r="H31" s="8" t="s">
        <v>14</v>
      </c>
      <c r="I31" s="8" t="s">
        <v>73</v>
      </c>
    </row>
    <row r="32">
      <c r="A32" s="21">
        <v>18.0</v>
      </c>
      <c r="B32" s="15" t="s">
        <v>74</v>
      </c>
      <c r="C32" s="8" t="s">
        <v>75</v>
      </c>
      <c r="D32" s="8" t="s">
        <v>13</v>
      </c>
      <c r="E32" s="19">
        <v>45909.0</v>
      </c>
      <c r="F32" s="20">
        <v>45913.0</v>
      </c>
      <c r="G32" s="8">
        <f t="shared" si="3"/>
        <v>4</v>
      </c>
      <c r="H32" s="8" t="s">
        <v>14</v>
      </c>
      <c r="I32" s="8" t="s">
        <v>76</v>
      </c>
    </row>
    <row r="33">
      <c r="A33" s="16"/>
      <c r="B33" s="16"/>
      <c r="C33" s="8" t="s">
        <v>77</v>
      </c>
      <c r="D33" s="8" t="s">
        <v>13</v>
      </c>
      <c r="E33" s="19">
        <v>45909.0</v>
      </c>
      <c r="F33" s="20">
        <v>45913.0</v>
      </c>
      <c r="G33" s="8">
        <f t="shared" si="3"/>
        <v>4</v>
      </c>
      <c r="H33" s="8" t="s">
        <v>14</v>
      </c>
      <c r="I33" s="8" t="s">
        <v>78</v>
      </c>
    </row>
    <row r="34">
      <c r="A34" s="17"/>
      <c r="B34" s="17"/>
      <c r="C34" s="8" t="s">
        <v>79</v>
      </c>
      <c r="D34" s="8" t="s">
        <v>39</v>
      </c>
      <c r="E34" s="19">
        <v>45909.0</v>
      </c>
      <c r="F34" s="20">
        <v>45915.0</v>
      </c>
      <c r="G34" s="8">
        <f t="shared" si="3"/>
        <v>6</v>
      </c>
      <c r="H34" s="8" t="s">
        <v>14</v>
      </c>
      <c r="I34" s="8" t="s">
        <v>80</v>
      </c>
    </row>
    <row r="35" ht="25.5" customHeight="1">
      <c r="A35" s="21">
        <v>19.0</v>
      </c>
      <c r="B35" s="15" t="s">
        <v>81</v>
      </c>
      <c r="C35" s="8" t="s">
        <v>82</v>
      </c>
      <c r="D35" s="8" t="s">
        <v>32</v>
      </c>
      <c r="E35" s="19">
        <v>45909.0</v>
      </c>
      <c r="F35" s="19">
        <v>45910.0</v>
      </c>
      <c r="G35" s="8">
        <f t="shared" si="3"/>
        <v>1</v>
      </c>
      <c r="H35" s="8" t="s">
        <v>14</v>
      </c>
      <c r="I35" s="15" t="s">
        <v>83</v>
      </c>
    </row>
    <row r="36" ht="25.5" customHeight="1">
      <c r="A36" s="16"/>
      <c r="B36" s="16"/>
      <c r="C36" s="8" t="s">
        <v>84</v>
      </c>
      <c r="D36" s="8" t="s">
        <v>32</v>
      </c>
      <c r="E36" s="19">
        <v>45911.0</v>
      </c>
      <c r="F36" s="19">
        <v>45912.0</v>
      </c>
      <c r="G36" s="8">
        <f t="shared" si="3"/>
        <v>1</v>
      </c>
      <c r="H36" s="8" t="s">
        <v>14</v>
      </c>
      <c r="I36" s="16"/>
    </row>
    <row r="37" ht="25.5" customHeight="1">
      <c r="A37" s="16"/>
      <c r="B37" s="16"/>
      <c r="C37" s="8" t="s">
        <v>85</v>
      </c>
      <c r="D37" s="8" t="s">
        <v>32</v>
      </c>
      <c r="E37" s="19">
        <v>45913.0</v>
      </c>
      <c r="F37" s="19">
        <v>45913.0</v>
      </c>
      <c r="G37" s="8">
        <f t="shared" si="3"/>
        <v>1</v>
      </c>
      <c r="H37" s="8" t="s">
        <v>14</v>
      </c>
      <c r="I37" s="16"/>
    </row>
    <row r="38" ht="25.5" customHeight="1">
      <c r="A38" s="17"/>
      <c r="B38" s="17"/>
      <c r="C38" s="8" t="s">
        <v>86</v>
      </c>
      <c r="D38" s="8" t="s">
        <v>32</v>
      </c>
      <c r="E38" s="19">
        <v>45915.0</v>
      </c>
      <c r="F38" s="19">
        <v>45917.0</v>
      </c>
      <c r="G38" s="8">
        <f t="shared" si="3"/>
        <v>2</v>
      </c>
      <c r="H38" s="8" t="s">
        <v>14</v>
      </c>
      <c r="I38" s="17"/>
    </row>
    <row r="39" ht="22.5" customHeight="1">
      <c r="A39" s="21">
        <v>20.0</v>
      </c>
      <c r="B39" s="15" t="s">
        <v>87</v>
      </c>
      <c r="C39" s="8" t="s">
        <v>88</v>
      </c>
      <c r="D39" s="8" t="s">
        <v>39</v>
      </c>
      <c r="E39" s="19">
        <v>45929.0</v>
      </c>
      <c r="F39" s="19">
        <v>45934.0</v>
      </c>
      <c r="G39" s="8">
        <f t="shared" si="3"/>
        <v>5</v>
      </c>
      <c r="H39" s="8" t="s">
        <v>14</v>
      </c>
      <c r="I39" s="15" t="s">
        <v>89</v>
      </c>
    </row>
    <row r="40" ht="22.5" customHeight="1">
      <c r="A40" s="16"/>
      <c r="B40" s="16"/>
      <c r="C40" s="8" t="s">
        <v>90</v>
      </c>
      <c r="D40" s="8" t="s">
        <v>39</v>
      </c>
      <c r="E40" s="19">
        <v>45933.0</v>
      </c>
      <c r="F40" s="19">
        <v>45934.0</v>
      </c>
      <c r="G40" s="8">
        <f t="shared" si="3"/>
        <v>1</v>
      </c>
      <c r="H40" s="8" t="s">
        <v>14</v>
      </c>
      <c r="I40" s="16"/>
    </row>
    <row r="41" ht="22.5" customHeight="1">
      <c r="A41" s="16"/>
      <c r="B41" s="16"/>
      <c r="C41" s="8" t="s">
        <v>91</v>
      </c>
      <c r="D41" s="8" t="s">
        <v>39</v>
      </c>
      <c r="E41" s="19">
        <v>45933.0</v>
      </c>
      <c r="F41" s="19">
        <v>45934.0</v>
      </c>
      <c r="G41" s="8">
        <f t="shared" si="3"/>
        <v>1</v>
      </c>
      <c r="H41" s="8" t="s">
        <v>14</v>
      </c>
      <c r="I41" s="16"/>
    </row>
    <row r="42" ht="22.5" customHeight="1">
      <c r="A42" s="16"/>
      <c r="B42" s="16"/>
      <c r="C42" s="8" t="s">
        <v>92</v>
      </c>
      <c r="D42" s="8" t="s">
        <v>39</v>
      </c>
      <c r="E42" s="19">
        <v>45933.0</v>
      </c>
      <c r="F42" s="19">
        <v>45934.0</v>
      </c>
      <c r="G42" s="8">
        <f t="shared" si="3"/>
        <v>1</v>
      </c>
      <c r="H42" s="8" t="s">
        <v>14</v>
      </c>
      <c r="I42" s="16"/>
    </row>
    <row r="43" ht="22.5" customHeight="1">
      <c r="A43" s="16"/>
      <c r="B43" s="16"/>
      <c r="C43" s="8" t="s">
        <v>93</v>
      </c>
      <c r="D43" s="8" t="s">
        <v>39</v>
      </c>
      <c r="E43" s="19">
        <v>45934.0</v>
      </c>
      <c r="F43" s="19">
        <v>45942.0</v>
      </c>
      <c r="G43" s="8">
        <f t="shared" si="3"/>
        <v>8</v>
      </c>
      <c r="H43" s="8" t="s">
        <v>14</v>
      </c>
      <c r="I43" s="16"/>
    </row>
    <row r="44" ht="23.25" customHeight="1">
      <c r="A44" s="16"/>
      <c r="B44" s="16"/>
      <c r="C44" s="15" t="s">
        <v>94</v>
      </c>
      <c r="D44" s="15" t="s">
        <v>95</v>
      </c>
      <c r="E44" s="22">
        <v>45939.0</v>
      </c>
      <c r="F44" s="22">
        <v>45941.0</v>
      </c>
      <c r="G44" s="15">
        <f>IF(DATEDIF(E45,F45,"d")=0,1,DATEDIF(E45,F45,"d"))
</f>
        <v>1</v>
      </c>
      <c r="H44" s="8" t="s">
        <v>14</v>
      </c>
      <c r="I44" s="16"/>
    </row>
    <row r="45" ht="1.5" customHeight="1">
      <c r="A45" s="16"/>
      <c r="B45" s="16"/>
      <c r="C45" s="17"/>
      <c r="D45" s="17"/>
      <c r="E45" s="17"/>
      <c r="F45" s="17"/>
      <c r="G45" s="17"/>
      <c r="H45" s="8" t="s">
        <v>14</v>
      </c>
      <c r="I45" s="16"/>
    </row>
    <row r="46" ht="25.5" customHeight="1">
      <c r="A46" s="16"/>
      <c r="B46" s="16"/>
      <c r="C46" s="8" t="s">
        <v>96</v>
      </c>
      <c r="D46" s="8" t="s">
        <v>95</v>
      </c>
      <c r="E46" s="19">
        <v>45936.0</v>
      </c>
      <c r="F46" s="19">
        <v>45938.0</v>
      </c>
      <c r="G46" s="8">
        <f t="shared" ref="G46:G55" si="4">IF(DATEDIF(E46,F46,"d")=0,1,DATEDIF(E46,F46,"d"))
</f>
        <v>2</v>
      </c>
      <c r="H46" s="8" t="s">
        <v>14</v>
      </c>
      <c r="I46" s="16"/>
    </row>
    <row r="47" ht="29.25" customHeight="1">
      <c r="A47" s="17"/>
      <c r="B47" s="17"/>
      <c r="C47" s="8" t="s">
        <v>97</v>
      </c>
      <c r="D47" s="8" t="s">
        <v>13</v>
      </c>
      <c r="E47" s="19">
        <v>45936.0</v>
      </c>
      <c r="F47" s="19">
        <v>45943.0</v>
      </c>
      <c r="G47" s="8">
        <f t="shared" si="4"/>
        <v>7</v>
      </c>
      <c r="H47" s="8" t="s">
        <v>14</v>
      </c>
      <c r="I47" s="17"/>
    </row>
    <row r="48" ht="25.5" customHeight="1">
      <c r="A48" s="21">
        <v>21.0</v>
      </c>
      <c r="B48" s="15" t="s">
        <v>98</v>
      </c>
      <c r="C48" s="8" t="s">
        <v>99</v>
      </c>
      <c r="D48" s="8" t="s">
        <v>13</v>
      </c>
      <c r="E48" s="19">
        <v>45943.0</v>
      </c>
      <c r="F48" s="19">
        <v>45945.0</v>
      </c>
      <c r="G48" s="8">
        <f t="shared" si="4"/>
        <v>2</v>
      </c>
      <c r="H48" s="8" t="s">
        <v>14</v>
      </c>
      <c r="I48" s="8" t="s">
        <v>100</v>
      </c>
    </row>
    <row r="49" ht="30.75" customHeight="1">
      <c r="A49" s="16"/>
      <c r="B49" s="16"/>
      <c r="C49" s="8" t="s">
        <v>101</v>
      </c>
      <c r="D49" s="8" t="s">
        <v>13</v>
      </c>
      <c r="E49" s="19">
        <v>45943.0</v>
      </c>
      <c r="F49" s="19">
        <v>45945.0</v>
      </c>
      <c r="G49" s="8">
        <f t="shared" si="4"/>
        <v>2</v>
      </c>
      <c r="H49" s="8" t="s">
        <v>14</v>
      </c>
      <c r="I49" s="8" t="s">
        <v>100</v>
      </c>
    </row>
    <row r="50" ht="30.75" customHeight="1">
      <c r="A50" s="17"/>
      <c r="B50" s="17"/>
      <c r="C50" s="8" t="s">
        <v>102</v>
      </c>
      <c r="D50" s="8" t="s">
        <v>13</v>
      </c>
      <c r="E50" s="19">
        <v>45943.0</v>
      </c>
      <c r="F50" s="19">
        <v>45946.0</v>
      </c>
      <c r="G50" s="8">
        <f t="shared" si="4"/>
        <v>3</v>
      </c>
      <c r="H50" s="8" t="s">
        <v>14</v>
      </c>
      <c r="I50" s="8" t="s">
        <v>100</v>
      </c>
    </row>
    <row r="51" ht="50.25" customHeight="1">
      <c r="A51" s="21">
        <v>22.0</v>
      </c>
      <c r="B51" s="15" t="s">
        <v>103</v>
      </c>
      <c r="C51" s="8" t="s">
        <v>104</v>
      </c>
      <c r="D51" s="8" t="s">
        <v>105</v>
      </c>
      <c r="E51" s="19">
        <v>45945.0</v>
      </c>
      <c r="F51" s="19">
        <v>45946.0</v>
      </c>
      <c r="G51" s="8">
        <f t="shared" si="4"/>
        <v>1</v>
      </c>
      <c r="H51" s="8" t="s">
        <v>14</v>
      </c>
      <c r="I51" s="8" t="s">
        <v>106</v>
      </c>
    </row>
    <row r="52" ht="41.25" customHeight="1">
      <c r="A52" s="17"/>
      <c r="B52" s="17"/>
      <c r="C52" s="8" t="s">
        <v>107</v>
      </c>
      <c r="D52" s="8" t="s">
        <v>105</v>
      </c>
      <c r="E52" s="19">
        <v>45947.0</v>
      </c>
      <c r="F52" s="19">
        <v>45948.0</v>
      </c>
      <c r="G52" s="8">
        <f t="shared" si="4"/>
        <v>1</v>
      </c>
      <c r="H52" s="8" t="s">
        <v>14</v>
      </c>
      <c r="I52" s="8" t="s">
        <v>108</v>
      </c>
    </row>
    <row r="53" ht="30.75" customHeight="1">
      <c r="A53" s="21">
        <v>23.0</v>
      </c>
      <c r="B53" s="15" t="s">
        <v>109</v>
      </c>
      <c r="C53" s="8" t="s">
        <v>110</v>
      </c>
      <c r="D53" s="8" t="s">
        <v>105</v>
      </c>
      <c r="E53" s="19">
        <v>45947.0</v>
      </c>
      <c r="F53" s="19">
        <v>45957.0</v>
      </c>
      <c r="G53" s="8">
        <f t="shared" si="4"/>
        <v>10</v>
      </c>
      <c r="H53" s="8" t="s">
        <v>14</v>
      </c>
      <c r="I53" s="8" t="s">
        <v>111</v>
      </c>
    </row>
    <row r="54" ht="30.75" customHeight="1">
      <c r="A54" s="17"/>
      <c r="B54" s="17"/>
      <c r="C54" s="8" t="s">
        <v>112</v>
      </c>
      <c r="D54" s="8" t="s">
        <v>105</v>
      </c>
      <c r="E54" s="19">
        <v>45947.0</v>
      </c>
      <c r="F54" s="19">
        <v>45957.0</v>
      </c>
      <c r="G54" s="8">
        <f t="shared" si="4"/>
        <v>10</v>
      </c>
      <c r="H54" s="8" t="s">
        <v>14</v>
      </c>
      <c r="I54" s="8" t="s">
        <v>113</v>
      </c>
    </row>
    <row r="55" ht="30.75" customHeight="1">
      <c r="A55" s="7">
        <v>24.0</v>
      </c>
      <c r="B55" s="8" t="s">
        <v>114</v>
      </c>
      <c r="C55" s="8" t="s">
        <v>115</v>
      </c>
      <c r="D55" s="8" t="s">
        <v>18</v>
      </c>
      <c r="E55" s="19">
        <v>45956.0</v>
      </c>
      <c r="F55" s="19">
        <v>45958.0</v>
      </c>
      <c r="G55" s="8">
        <f t="shared" si="4"/>
        <v>2</v>
      </c>
      <c r="H55" s="8" t="s">
        <v>14</v>
      </c>
      <c r="I55" s="8" t="s">
        <v>116</v>
      </c>
    </row>
    <row r="56">
      <c r="A56" s="4" t="s">
        <v>117</v>
      </c>
      <c r="B56" s="5"/>
      <c r="C56" s="5"/>
      <c r="D56" s="5"/>
      <c r="E56" s="5"/>
      <c r="F56" s="5"/>
      <c r="G56" s="5"/>
      <c r="H56" s="5"/>
      <c r="I56" s="6"/>
    </row>
    <row r="57">
      <c r="A57" s="7">
        <v>25.0</v>
      </c>
      <c r="B57" s="8" t="s">
        <v>118</v>
      </c>
      <c r="C57" s="8" t="s">
        <v>119</v>
      </c>
      <c r="D57" s="8" t="s">
        <v>13</v>
      </c>
      <c r="E57" s="23">
        <v>45964.0</v>
      </c>
      <c r="F57" s="23">
        <v>45969.0</v>
      </c>
      <c r="G57" s="8">
        <v>3.0</v>
      </c>
      <c r="H57" s="8" t="s">
        <v>14</v>
      </c>
      <c r="I57" s="8" t="s">
        <v>120</v>
      </c>
    </row>
    <row r="58">
      <c r="A58" s="7">
        <v>26.0</v>
      </c>
      <c r="B58" s="8" t="s">
        <v>121</v>
      </c>
      <c r="C58" s="8" t="s">
        <v>122</v>
      </c>
      <c r="D58" s="8" t="s">
        <v>39</v>
      </c>
      <c r="E58" s="23">
        <v>45964.0</v>
      </c>
      <c r="F58" s="23">
        <v>45967.0</v>
      </c>
      <c r="G58" s="8">
        <v>3.0</v>
      </c>
      <c r="H58" s="8" t="s">
        <v>14</v>
      </c>
      <c r="I58" s="8" t="s">
        <v>123</v>
      </c>
    </row>
    <row r="59">
      <c r="A59" s="7">
        <v>27.0</v>
      </c>
      <c r="B59" s="8" t="s">
        <v>124</v>
      </c>
      <c r="C59" s="8" t="s">
        <v>125</v>
      </c>
      <c r="D59" s="8" t="s">
        <v>18</v>
      </c>
      <c r="E59" s="24">
        <v>45967.0</v>
      </c>
      <c r="F59" s="24">
        <v>45968.0</v>
      </c>
      <c r="G59" s="8">
        <f t="shared" ref="G59:G62" si="5">IF(DATEDIF(E59,F59,"d")=0,1,DATEDIF(E59,F59,"d"))
</f>
        <v>1</v>
      </c>
      <c r="H59" s="8" t="s">
        <v>14</v>
      </c>
      <c r="I59" s="8" t="s">
        <v>126</v>
      </c>
    </row>
    <row r="60">
      <c r="A60" s="7">
        <v>28.0</v>
      </c>
      <c r="B60" s="8" t="s">
        <v>127</v>
      </c>
      <c r="C60" s="8" t="s">
        <v>128</v>
      </c>
      <c r="D60" s="8" t="s">
        <v>129</v>
      </c>
      <c r="E60" s="24">
        <v>45971.0</v>
      </c>
      <c r="F60" s="25">
        <v>45973.0</v>
      </c>
      <c r="G60" s="8">
        <f t="shared" si="5"/>
        <v>2</v>
      </c>
      <c r="H60" s="8" t="s">
        <v>14</v>
      </c>
      <c r="I60" s="8" t="s">
        <v>130</v>
      </c>
    </row>
    <row r="61">
      <c r="A61" s="7">
        <v>29.0</v>
      </c>
      <c r="B61" s="8" t="s">
        <v>131</v>
      </c>
      <c r="C61" s="8" t="s">
        <v>132</v>
      </c>
      <c r="D61" s="8" t="s">
        <v>18</v>
      </c>
      <c r="E61" s="24">
        <v>45973.0</v>
      </c>
      <c r="F61" s="25">
        <v>45975.0</v>
      </c>
      <c r="G61" s="8">
        <f t="shared" si="5"/>
        <v>2</v>
      </c>
      <c r="H61" s="8" t="s">
        <v>14</v>
      </c>
      <c r="I61" s="8" t="s">
        <v>133</v>
      </c>
    </row>
    <row r="62">
      <c r="A62" s="7">
        <v>30.0</v>
      </c>
      <c r="B62" s="8" t="s">
        <v>134</v>
      </c>
      <c r="C62" s="8" t="s">
        <v>135</v>
      </c>
      <c r="D62" s="8" t="s">
        <v>18</v>
      </c>
      <c r="E62" s="24">
        <v>45975.0</v>
      </c>
      <c r="F62" s="25">
        <v>45976.0</v>
      </c>
      <c r="G62" s="8">
        <f t="shared" si="5"/>
        <v>1</v>
      </c>
      <c r="H62" s="8" t="s">
        <v>14</v>
      </c>
      <c r="I62" s="8" t="s">
        <v>136</v>
      </c>
    </row>
    <row r="63">
      <c r="A63" s="26" t="s">
        <v>137</v>
      </c>
      <c r="B63" s="5"/>
      <c r="C63" s="5"/>
      <c r="D63" s="5"/>
      <c r="E63" s="5"/>
      <c r="F63" s="5"/>
      <c r="G63" s="5"/>
      <c r="H63" s="5"/>
      <c r="I63" s="6"/>
    </row>
    <row r="64">
      <c r="A64" s="7">
        <v>31.0</v>
      </c>
      <c r="B64" s="8" t="s">
        <v>138</v>
      </c>
      <c r="C64" s="8" t="s">
        <v>139</v>
      </c>
      <c r="D64" s="8" t="s">
        <v>18</v>
      </c>
      <c r="E64" s="9">
        <v>45978.0</v>
      </c>
      <c r="F64" s="9">
        <v>45980.0</v>
      </c>
      <c r="G64" s="8">
        <f t="shared" ref="G64:G68" si="6">IF(DATEDIF(E64,F64,"d")=0,1,DATEDIF(E64,F64,"d"))
</f>
        <v>2</v>
      </c>
      <c r="H64" s="8" t="s">
        <v>14</v>
      </c>
      <c r="I64" s="8" t="s">
        <v>140</v>
      </c>
    </row>
    <row r="65">
      <c r="A65" s="7">
        <v>32.0</v>
      </c>
      <c r="B65" s="8" t="s">
        <v>141</v>
      </c>
      <c r="C65" s="27" t="s">
        <v>142</v>
      </c>
      <c r="D65" s="8" t="s">
        <v>18</v>
      </c>
      <c r="E65" s="9">
        <v>45980.0</v>
      </c>
      <c r="F65" s="9">
        <v>45983.0</v>
      </c>
      <c r="G65" s="8">
        <f t="shared" si="6"/>
        <v>3</v>
      </c>
      <c r="H65" s="8" t="s">
        <v>143</v>
      </c>
      <c r="I65" s="8"/>
    </row>
    <row r="66">
      <c r="A66" s="7">
        <v>33.0</v>
      </c>
      <c r="B66" s="8" t="s">
        <v>144</v>
      </c>
      <c r="C66" s="8" t="s">
        <v>145</v>
      </c>
      <c r="D66" s="8" t="s">
        <v>39</v>
      </c>
      <c r="E66" s="9">
        <v>45986.0</v>
      </c>
      <c r="F66" s="9">
        <v>45988.0</v>
      </c>
      <c r="G66" s="8">
        <f t="shared" si="6"/>
        <v>2</v>
      </c>
      <c r="H66" s="8" t="s">
        <v>146</v>
      </c>
      <c r="I66" s="8"/>
    </row>
    <row r="67">
      <c r="A67" s="7">
        <v>34.0</v>
      </c>
      <c r="B67" s="8" t="s">
        <v>147</v>
      </c>
      <c r="C67" s="8" t="s">
        <v>148</v>
      </c>
      <c r="D67" s="8" t="s">
        <v>13</v>
      </c>
      <c r="E67" s="9">
        <v>45992.0</v>
      </c>
      <c r="F67" s="9">
        <v>45997.0</v>
      </c>
      <c r="G67" s="8">
        <f t="shared" si="6"/>
        <v>5</v>
      </c>
      <c r="H67" s="8" t="s">
        <v>146</v>
      </c>
      <c r="I67" s="8"/>
    </row>
    <row r="68">
      <c r="A68" s="7">
        <v>35.0</v>
      </c>
      <c r="B68" s="8" t="s">
        <v>149</v>
      </c>
      <c r="C68" s="8" t="s">
        <v>150</v>
      </c>
      <c r="D68" s="8" t="s">
        <v>18</v>
      </c>
      <c r="E68" s="9">
        <v>45999.0</v>
      </c>
      <c r="F68" s="9">
        <v>46000.0</v>
      </c>
      <c r="G68" s="8">
        <f t="shared" si="6"/>
        <v>1</v>
      </c>
      <c r="H68" s="8" t="s">
        <v>146</v>
      </c>
      <c r="I68" s="8"/>
    </row>
  </sheetData>
  <mergeCells count="29">
    <mergeCell ref="I35:I38"/>
    <mergeCell ref="I39:I47"/>
    <mergeCell ref="A5:I5"/>
    <mergeCell ref="A15:I15"/>
    <mergeCell ref="A17:A22"/>
    <mergeCell ref="B17:B22"/>
    <mergeCell ref="B26:B29"/>
    <mergeCell ref="I26:I29"/>
    <mergeCell ref="A30:I30"/>
    <mergeCell ref="C44:C45"/>
    <mergeCell ref="D44:D45"/>
    <mergeCell ref="E44:E45"/>
    <mergeCell ref="F44:F45"/>
    <mergeCell ref="G44:G45"/>
    <mergeCell ref="A48:A50"/>
    <mergeCell ref="B48:B50"/>
    <mergeCell ref="A51:A52"/>
    <mergeCell ref="B51:B52"/>
    <mergeCell ref="A53:A54"/>
    <mergeCell ref="B53:B54"/>
    <mergeCell ref="A56:I56"/>
    <mergeCell ref="A63:I63"/>
    <mergeCell ref="A26:A29"/>
    <mergeCell ref="A32:A34"/>
    <mergeCell ref="B32:B34"/>
    <mergeCell ref="A35:A38"/>
    <mergeCell ref="B35:B38"/>
    <mergeCell ref="A39:A47"/>
    <mergeCell ref="B39:B47"/>
  </mergeCells>
  <dataValidations>
    <dataValidation type="list" allowBlank="1" showErrorMessage="1" sqref="H6:H14 H16:H29 H31:H55 H57:H62 H64:H68">
      <formula1>"Finalizada,En curso,Pendiente,Atrasada"</formula1>
    </dataValidation>
    <dataValidation type="list" allowBlank="1" showErrorMessage="1" sqref="D6:D14 D16:D29 D31:D44 D46:D55 D57:D62 D64:D68">
      <formula1>"Eduardo Velásquez,Marco Oviedo,Felipe Alvarado,Equipo Completo,Por Asignar"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75"/>
    <col customWidth="1" min="4" max="4" width="13.75"/>
    <col customWidth="1" min="5" max="5" width="11.75"/>
  </cols>
  <sheetData>
    <row r="1">
      <c r="A1" s="28"/>
      <c r="B1" s="28"/>
      <c r="C1" s="28"/>
      <c r="D1" s="28"/>
      <c r="E1" s="28"/>
      <c r="F1" s="28"/>
    </row>
    <row r="2">
      <c r="A2" s="29"/>
      <c r="B2" s="30"/>
      <c r="C2" s="31"/>
      <c r="D2" s="31"/>
      <c r="E2" s="31"/>
      <c r="F2" s="31"/>
    </row>
    <row r="3">
      <c r="A3" s="32"/>
      <c r="B3" s="33"/>
      <c r="C3" s="34"/>
      <c r="D3" s="35"/>
      <c r="E3" s="36"/>
      <c r="F3" s="29"/>
    </row>
    <row r="4">
      <c r="D4" s="35"/>
      <c r="E4" s="36"/>
      <c r="F4" s="29"/>
    </row>
    <row r="5">
      <c r="B5" s="33"/>
      <c r="C5" s="34"/>
      <c r="D5" s="35"/>
      <c r="E5" s="36"/>
      <c r="F5" s="29"/>
    </row>
    <row r="6">
      <c r="A6" s="32"/>
      <c r="B6" s="33"/>
      <c r="C6" s="34"/>
      <c r="D6" s="35"/>
      <c r="E6" s="36"/>
      <c r="F6" s="29"/>
    </row>
    <row r="7">
      <c r="B7" s="33"/>
      <c r="C7" s="34"/>
      <c r="D7" s="35"/>
      <c r="E7" s="36"/>
      <c r="F7" s="29"/>
    </row>
    <row r="8">
      <c r="A8" s="32"/>
      <c r="B8" s="33"/>
      <c r="C8" s="34"/>
      <c r="D8" s="35"/>
      <c r="E8" s="36"/>
      <c r="F8" s="29"/>
    </row>
    <row r="9">
      <c r="B9" s="33"/>
      <c r="C9" s="34"/>
      <c r="D9" s="35"/>
      <c r="E9" s="36"/>
      <c r="F9" s="29"/>
    </row>
    <row r="10">
      <c r="B10" s="33"/>
      <c r="C10" s="34"/>
      <c r="D10" s="35"/>
      <c r="E10" s="36"/>
      <c r="F10" s="29"/>
    </row>
    <row r="11">
      <c r="A11" s="32"/>
      <c r="B11" s="33"/>
      <c r="C11" s="34"/>
      <c r="D11" s="35"/>
      <c r="E11" s="36"/>
      <c r="F11" s="29"/>
    </row>
    <row r="12">
      <c r="B12" s="33"/>
      <c r="C12" s="34"/>
      <c r="D12" s="35"/>
      <c r="E12" s="36"/>
      <c r="F12" s="29"/>
    </row>
    <row r="13">
      <c r="B13" s="33"/>
      <c r="C13" s="34"/>
      <c r="D13" s="35"/>
      <c r="E13" s="36"/>
      <c r="F13" s="29"/>
    </row>
    <row r="14">
      <c r="B14" s="33"/>
      <c r="C14" s="34"/>
      <c r="D14" s="35"/>
      <c r="E14" s="36"/>
      <c r="F14" s="29"/>
    </row>
    <row r="15">
      <c r="A15" s="37"/>
      <c r="B15" s="33"/>
      <c r="C15" s="34"/>
      <c r="D15" s="35"/>
      <c r="E15" s="36"/>
      <c r="F15" s="29"/>
    </row>
    <row r="16">
      <c r="A16" s="37"/>
      <c r="B16" s="33"/>
      <c r="C16" s="34"/>
      <c r="D16" s="35"/>
      <c r="E16" s="36"/>
      <c r="F16" s="29"/>
    </row>
    <row r="17">
      <c r="A17" s="37"/>
      <c r="B17" s="33"/>
      <c r="C17" s="34"/>
      <c r="D17" s="29"/>
      <c r="E17" s="36"/>
      <c r="F17" s="29"/>
    </row>
    <row r="18">
      <c r="A18" s="37"/>
      <c r="B18" s="33"/>
      <c r="C18" s="34"/>
      <c r="D18" s="29"/>
      <c r="E18" s="36"/>
      <c r="F18" s="29"/>
    </row>
    <row r="19">
      <c r="A19" s="37"/>
      <c r="B19" s="33"/>
      <c r="C19" s="34"/>
      <c r="D19" s="29"/>
      <c r="E19" s="36"/>
      <c r="F19" s="29"/>
    </row>
    <row r="20">
      <c r="A20" s="37"/>
      <c r="B20" s="33"/>
      <c r="C20" s="34"/>
      <c r="D20" s="29"/>
      <c r="E20" s="36"/>
      <c r="F20" s="29"/>
    </row>
    <row r="21">
      <c r="A21" s="37"/>
      <c r="B21" s="33"/>
      <c r="C21" s="34"/>
      <c r="D21" s="29"/>
      <c r="E21" s="36"/>
      <c r="F21" s="29"/>
    </row>
    <row r="26">
      <c r="B26" s="38"/>
      <c r="C26" s="38"/>
      <c r="D26" s="38"/>
    </row>
    <row r="27">
      <c r="B27" s="38"/>
    </row>
    <row r="28">
      <c r="B28" s="38"/>
    </row>
    <row r="29">
      <c r="B29" s="38"/>
    </row>
    <row r="30">
      <c r="B30" s="38"/>
    </row>
    <row r="31">
      <c r="B31" s="38"/>
    </row>
    <row r="32">
      <c r="B32" s="38"/>
    </row>
    <row r="33">
      <c r="B33" s="38"/>
    </row>
    <row r="34">
      <c r="B34" s="38"/>
    </row>
    <row r="35">
      <c r="B35" s="38"/>
    </row>
    <row r="36">
      <c r="B36" s="38"/>
    </row>
    <row r="37">
      <c r="B37" s="38"/>
    </row>
    <row r="38">
      <c r="B38" s="38"/>
    </row>
    <row r="39">
      <c r="B39" s="38"/>
    </row>
    <row r="40">
      <c r="B40" s="38"/>
    </row>
    <row r="41">
      <c r="B41" s="38"/>
    </row>
    <row r="42">
      <c r="B42" s="38"/>
    </row>
    <row r="43">
      <c r="B43" s="38"/>
    </row>
    <row r="44">
      <c r="B44" s="38"/>
    </row>
    <row r="45">
      <c r="B45" s="38"/>
    </row>
    <row r="46">
      <c r="B46" s="38"/>
    </row>
    <row r="47">
      <c r="B47" s="38"/>
    </row>
    <row r="48">
      <c r="B48" s="38"/>
    </row>
    <row r="49">
      <c r="B49" s="38"/>
    </row>
    <row r="50">
      <c r="B50" s="38"/>
    </row>
    <row r="51">
      <c r="B51" s="38"/>
    </row>
    <row r="52">
      <c r="B52" s="38"/>
    </row>
    <row r="53">
      <c r="B53" s="38"/>
    </row>
    <row r="54">
      <c r="B54" s="38"/>
    </row>
    <row r="55">
      <c r="B55" s="38"/>
    </row>
    <row r="56">
      <c r="B56" s="38"/>
    </row>
    <row r="57">
      <c r="B57" s="38"/>
    </row>
    <row r="58">
      <c r="B58" s="38"/>
    </row>
    <row r="59">
      <c r="B59" s="38"/>
    </row>
    <row r="60">
      <c r="B60" s="38"/>
    </row>
    <row r="61">
      <c r="B61" s="38"/>
    </row>
    <row r="62">
      <c r="B62" s="38"/>
    </row>
    <row r="63">
      <c r="B63" s="38"/>
    </row>
    <row r="64">
      <c r="B64" s="38"/>
    </row>
    <row r="65">
      <c r="B65" s="38"/>
    </row>
    <row r="66">
      <c r="B66" s="38"/>
    </row>
    <row r="67">
      <c r="B67" s="38"/>
    </row>
    <row r="68">
      <c r="B68" s="38"/>
    </row>
    <row r="69">
      <c r="B69" s="38"/>
    </row>
    <row r="70">
      <c r="B70" s="38"/>
    </row>
    <row r="71">
      <c r="B71" s="38"/>
    </row>
    <row r="72">
      <c r="B72" s="38"/>
    </row>
    <row r="73">
      <c r="B73" s="38"/>
    </row>
    <row r="74">
      <c r="B74" s="38"/>
    </row>
    <row r="75">
      <c r="B75" s="38"/>
    </row>
    <row r="76">
      <c r="B76" s="38"/>
    </row>
    <row r="77">
      <c r="B77" s="38"/>
    </row>
    <row r="78">
      <c r="B78" s="38"/>
    </row>
    <row r="79">
      <c r="B79" s="38"/>
    </row>
    <row r="80">
      <c r="B80" s="38"/>
    </row>
    <row r="81">
      <c r="B81" s="38"/>
    </row>
    <row r="82">
      <c r="B82" s="38"/>
    </row>
    <row r="83">
      <c r="B83" s="38"/>
    </row>
    <row r="84">
      <c r="B84" s="38"/>
    </row>
    <row r="85">
      <c r="B85" s="38"/>
    </row>
    <row r="86">
      <c r="B86" s="38"/>
    </row>
    <row r="87">
      <c r="B87" s="38"/>
    </row>
    <row r="88">
      <c r="B88" s="38"/>
    </row>
    <row r="89">
      <c r="B89" s="38"/>
    </row>
    <row r="90">
      <c r="B90" s="38"/>
    </row>
    <row r="91">
      <c r="B91" s="38"/>
    </row>
    <row r="92">
      <c r="B92" s="38"/>
    </row>
    <row r="93">
      <c r="B93" s="38"/>
    </row>
    <row r="94">
      <c r="B94" s="38"/>
    </row>
    <row r="95">
      <c r="B95" s="38"/>
    </row>
  </sheetData>
  <mergeCells count="6">
    <mergeCell ref="A3:A5"/>
    <mergeCell ref="B3:B4"/>
    <mergeCell ref="C3:C4"/>
    <mergeCell ref="A6:A7"/>
    <mergeCell ref="A8:A10"/>
    <mergeCell ref="A11:A14"/>
  </mergeCells>
  <drawing r:id="rId1"/>
</worksheet>
</file>